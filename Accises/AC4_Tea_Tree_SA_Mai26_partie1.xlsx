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-26 partie 1" sheetId="1" state="visible" r:id="rId1"/>
    <sheet xmlns:r="http://schemas.openxmlformats.org/officeDocument/2006/relationships" name="Annexe dé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0" customWidth="1" min="4" max="4"/>
    <col width="6" customWidth="1" min="5" max="5"/>
    <col width="12" customWidth="1" min="6" max="6"/>
    <col width="18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0" customWidth="1" min="13" max="13"/>
  </cols>
  <sheetData>
    <row r="1">
      <c r="A1" s="1" t="inlineStr">
        <is>
          <t>Mai26 partie 1</t>
        </is>
      </c>
      <c r="G1" s="1" t="inlineStr">
        <is>
          <t>Mai26 partie 1</t>
        </is>
      </c>
      <c r="L1" t="inlineStr">
        <is>
          <t>taux accises 1</t>
        </is>
      </c>
      <c r="M1" t="n">
        <v>0.681339</v>
      </c>
    </row>
    <row r="2">
      <c r="A2" s="1" t="inlineStr">
        <is>
          <t>Entrées</t>
        </is>
      </c>
      <c r="G2" s="1" t="inlineStr">
        <is>
          <t>Sorties</t>
        </is>
      </c>
    </row>
    <row r="3">
      <c r="A3" t="inlineStr">
        <is>
          <t>Fournisseurs</t>
        </is>
      </c>
      <c r="B3" t="inlineStr">
        <is>
          <t>Facture n°</t>
        </is>
      </c>
      <c r="C3" t="inlineStr">
        <is>
          <t>date</t>
        </is>
      </c>
      <c r="D3" t="inlineStr">
        <is>
          <t>Kg de thé</t>
        </is>
      </c>
      <c r="E3" t="inlineStr">
        <is>
          <t>Taux</t>
        </is>
      </c>
      <c r="F3" t="inlineStr">
        <is>
          <t>Accises</t>
        </is>
      </c>
      <c r="G3" t="inlineStr">
        <is>
          <t>Fournisseurs</t>
        </is>
      </c>
      <c r="H3" t="inlineStr">
        <is>
          <t>AC4 n°</t>
        </is>
      </c>
      <c r="I3" t="inlineStr">
        <is>
          <t>date</t>
        </is>
      </c>
      <c r="J3" t="inlineStr">
        <is>
          <t>Kg de thé</t>
        </is>
      </c>
      <c r="K3" t="inlineStr">
        <is>
          <t>Accises</t>
        </is>
      </c>
      <c r="L3" t="inlineStr">
        <is>
          <t>Taux accises 2</t>
        </is>
      </c>
      <c r="M3" t="n">
        <v>1.192343</v>
      </c>
    </row>
    <row r="4">
      <c r="A4" t="inlineStr">
        <is>
          <t>Kirshner Fischer</t>
        </is>
      </c>
      <c r="B4" t="inlineStr">
        <is>
          <t>RGK26-03985</t>
        </is>
      </c>
      <c r="C4" s="2" t="n">
        <v>46148</v>
      </c>
      <c r="D4" t="n">
        <v>40</v>
      </c>
      <c r="E4" t="n">
        <v>1</v>
      </c>
      <c r="F4" t="n">
        <v>27.25356</v>
      </c>
      <c r="G4" t="inlineStr">
        <is>
          <t>Kirshner Fischer</t>
        </is>
      </c>
    </row>
    <row r="5">
      <c r="A5" t="inlineStr">
        <is>
          <t>Kirshner Fischer</t>
        </is>
      </c>
      <c r="B5" t="inlineStr">
        <is>
          <t>RGK26-03998</t>
        </is>
      </c>
      <c r="C5" s="2" t="n">
        <v>46149</v>
      </c>
      <c r="D5" t="n">
        <v>10</v>
      </c>
      <c r="E5" t="n">
        <v>1</v>
      </c>
      <c r="F5" t="n">
        <v>6.81339</v>
      </c>
      <c r="G5" t="inlineStr">
        <is>
          <t>Kirshner Fischer</t>
        </is>
      </c>
    </row>
    <row r="6">
      <c r="A6" s="1" t="inlineStr">
        <is>
          <t>Total du mois</t>
        </is>
      </c>
      <c r="D6">
        <f>SUM(D4:D5)</f>
        <v/>
      </c>
      <c r="F6">
        <f>SUM(F4:F5)</f>
        <v/>
      </c>
      <c r="G6" s="1" t="inlineStr">
        <is>
          <t>Total du mois</t>
        </is>
      </c>
      <c r="J6">
        <f>SUM(J4:J5)</f>
        <v/>
      </c>
      <c r="K6">
        <f>SUM(K4:K5)</f>
        <v/>
      </c>
    </row>
    <row r="7">
      <c r="C7" t="inlineStr">
        <is>
          <t>Taux 1</t>
        </is>
      </c>
      <c r="D7">
        <f>SUMIF(E4:E5,1,D4:D5)</f>
        <v/>
      </c>
      <c r="F7">
        <f>SUMIF(E4:E5,1,F4:F5)</f>
        <v/>
      </c>
    </row>
    <row r="8">
      <c r="C8" t="inlineStr">
        <is>
          <t>Taux 2</t>
        </is>
      </c>
      <c r="D8">
        <f>SUMIF(E4:E5,2,D4:D5)</f>
        <v/>
      </c>
      <c r="F8">
        <f>SUMIF(E4:E5,2,F4:F5)</f>
        <v/>
      </c>
    </row>
    <row r="9">
      <c r="D9">
        <f>D7+D8</f>
        <v/>
      </c>
      <c r="F9">
        <f>F7+F8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" customWidth="1" min="3" max="3"/>
    <col width="9" customWidth="1" min="4" max="4"/>
    <col width="46" customWidth="1" min="5" max="5"/>
    <col width="28" customWidth="1" min="6" max="6"/>
    <col width="12" customWidth="1" min="7" max="7"/>
    <col width="14" customWidth="1" min="8" max="8"/>
    <col width="10" customWidth="1" min="9" max="9"/>
    <col width="11" customWidth="1" min="10" max="10"/>
    <col width="16" customWidth="1" min="11" max="11"/>
    <col width="6" customWidth="1" min="12" max="12"/>
    <col width="10" customWidth="1" min="13" max="13"/>
  </cols>
  <sheetData>
    <row r="1">
      <c r="A1" s="1" t="inlineStr">
        <is>
          <t>ANNEXE DÉCLARATION ACCISES — Mai 2026 partie 1 (2ème déclaration)</t>
        </is>
      </c>
    </row>
    <row r="2">
      <c r="A2" t="inlineStr">
        <is>
          <t>Tea Tree SA — Détail des factures RGK26-03985 et RGK26-03998 (Kirchner, Fischer &amp; Co GmbH)</t>
        </is>
      </c>
    </row>
    <row r="4">
      <c r="A4" s="1" t="inlineStr">
        <is>
          <t>Facture n°</t>
        </is>
      </c>
      <c r="B4" s="1" t="inlineStr">
        <is>
          <t>Date facture</t>
        </is>
      </c>
      <c r="C4" s="1" t="inlineStr">
        <is>
          <t>Pos</t>
        </is>
      </c>
      <c r="D4" s="1" t="inlineStr">
        <is>
          <t>Article</t>
        </is>
      </c>
      <c r="E4" s="1" t="inlineStr">
        <is>
          <t>Description fournisseur</t>
        </is>
      </c>
      <c r="F4" s="1" t="inlineStr">
        <is>
          <t>Réf. Teatower</t>
        </is>
      </c>
      <c r="G4" s="1" t="inlineStr">
        <is>
          <t>Lot</t>
        </is>
      </c>
      <c r="H4" s="1" t="inlineStr">
        <is>
          <t>Code tarifaire</t>
        </is>
      </c>
      <c r="I4" s="1" t="inlineStr">
        <is>
          <t>Qté</t>
        </is>
      </c>
      <c r="J4" s="1" t="inlineStr">
        <is>
          <t>Kg net thé</t>
        </is>
      </c>
      <c r="K4" s="1" t="inlineStr">
        <is>
          <t>Soumis accises</t>
        </is>
      </c>
      <c r="L4" s="1" t="inlineStr">
        <is>
          <t>Taux</t>
        </is>
      </c>
      <c r="M4" s="1" t="inlineStr">
        <is>
          <t>Accises €</t>
        </is>
      </c>
    </row>
    <row r="5">
      <c r="A5" t="inlineStr">
        <is>
          <t>RGK26-03985</t>
        </is>
      </c>
      <c r="B5" t="inlineStr">
        <is>
          <t>06/05/2026</t>
        </is>
      </c>
      <c r="C5" t="n">
        <v>1</v>
      </c>
      <c r="D5" t="inlineStr">
        <is>
          <t>36100</t>
        </is>
      </c>
      <c r="E5" t="inlineStr">
        <is>
          <t>Tea Ball Tong, stainless steel (Ø 4,5 cm)</t>
        </is>
      </c>
      <c r="F5" t="inlineStr">
        <is>
          <t>A0274 Filtre pince</t>
        </is>
      </c>
      <c r="G5" t="inlineStr">
        <is>
          <t>LOTK046785</t>
        </is>
      </c>
      <c r="H5" t="inlineStr">
        <is>
          <t>73239300900</t>
        </is>
      </c>
      <c r="I5" t="inlineStr">
        <is>
          <t>3 × 24 pce</t>
        </is>
      </c>
      <c r="K5" t="inlineStr">
        <is>
          <t>Non — accessoire</t>
        </is>
      </c>
    </row>
    <row r="6">
      <c r="A6" t="inlineStr">
        <is>
          <t>RGK26-03985</t>
        </is>
      </c>
      <c r="B6" t="inlineStr">
        <is>
          <t>06/05/2026</t>
        </is>
      </c>
      <c r="C6" t="n">
        <v>2</v>
      </c>
      <c r="D6" t="inlineStr">
        <is>
          <t>72046</t>
        </is>
      </c>
      <c r="E6" t="inlineStr">
        <is>
          <t>Teapot "Globe" verre 1500 ml</t>
        </is>
      </c>
      <c r="F6" t="inlineStr">
        <is>
          <t>A0378 Théière en verre Wide</t>
        </is>
      </c>
      <c r="G6" t="inlineStr">
        <is>
          <t>LOTK042637</t>
        </is>
      </c>
      <c r="H6" t="inlineStr">
        <is>
          <t>70134200000</t>
        </is>
      </c>
      <c r="I6" t="inlineStr">
        <is>
          <t>15 pce</t>
        </is>
      </c>
      <c r="K6" t="inlineStr">
        <is>
          <t>Non — accessoire</t>
        </is>
      </c>
    </row>
    <row r="7">
      <c r="A7" t="inlineStr">
        <is>
          <t>RGK26-03985</t>
        </is>
      </c>
      <c r="B7" t="inlineStr">
        <is>
          <t>06/05/2026</t>
        </is>
      </c>
      <c r="C7" t="n">
        <v>3</v>
      </c>
      <c r="D7" t="inlineStr">
        <is>
          <t>26151</t>
        </is>
      </c>
      <c r="E7" t="inlineStr">
        <is>
          <t>Apple/Vanilla — flavoured fruit tea blend</t>
        </is>
      </c>
      <c r="F7" t="inlineStr">
        <is>
          <t>MP_1V0257 Pomme vanille</t>
        </is>
      </c>
      <c r="G7" t="inlineStr">
        <is>
          <t>LOTK066688</t>
        </is>
      </c>
      <c r="H7" t="inlineStr">
        <is>
          <t>21069092859</t>
        </is>
      </c>
      <c r="I7" t="inlineStr">
        <is>
          <t>5 × 1 kg</t>
        </is>
      </c>
      <c r="J7" t="n">
        <v>5</v>
      </c>
      <c r="K7" t="inlineStr">
        <is>
          <t>Oui</t>
        </is>
      </c>
      <c r="L7" t="n">
        <v>1</v>
      </c>
      <c r="M7" t="n">
        <v>3.406695</v>
      </c>
    </row>
    <row r="8">
      <c r="A8" t="inlineStr">
        <is>
          <t>RGK26-03985</t>
        </is>
      </c>
      <c r="B8" t="inlineStr">
        <is>
          <t>06/05/2026</t>
        </is>
      </c>
      <c r="C8" t="n">
        <v>4</v>
      </c>
      <c r="D8" t="inlineStr">
        <is>
          <t>18804</t>
        </is>
      </c>
      <c r="E8" t="inlineStr">
        <is>
          <t>Fairy Dew — flavoured green tea</t>
        </is>
      </c>
      <c r="F8" t="inlineStr">
        <is>
          <t>MP_1V0617 Liberté</t>
        </is>
      </c>
      <c r="G8" t="inlineStr">
        <is>
          <t>LOTK070454</t>
        </is>
      </c>
      <c r="H8" t="inlineStr">
        <is>
          <t>09021000000</t>
        </is>
      </c>
      <c r="I8" t="inlineStr">
        <is>
          <t>10 × 1 kg</t>
        </is>
      </c>
      <c r="J8" t="n">
        <v>10</v>
      </c>
      <c r="K8" t="inlineStr">
        <is>
          <t>Oui</t>
        </is>
      </c>
      <c r="L8" t="n">
        <v>1</v>
      </c>
      <c r="M8" t="n">
        <v>6.81339</v>
      </c>
    </row>
    <row r="9">
      <c r="A9" t="inlineStr">
        <is>
          <t>RGK26-03985</t>
        </is>
      </c>
      <c r="B9" t="inlineStr">
        <is>
          <t>06/05/2026</t>
        </is>
      </c>
      <c r="C9" t="n">
        <v>5</v>
      </c>
      <c r="D9" t="inlineStr">
        <is>
          <t>18728</t>
        </is>
      </c>
      <c r="E9" t="inlineStr">
        <is>
          <t>My Lady — flavoured black tea blend</t>
        </is>
      </c>
      <c r="F9" t="inlineStr">
        <is>
          <t>MP_1V0772 Black Mango</t>
        </is>
      </c>
      <c r="G9" t="inlineStr">
        <is>
          <t>LOTK068738</t>
        </is>
      </c>
      <c r="H9" t="inlineStr">
        <is>
          <t>09023000000</t>
        </is>
      </c>
      <c r="I9" t="inlineStr">
        <is>
          <t>10 × 1 kg</t>
        </is>
      </c>
      <c r="J9" t="n">
        <v>10</v>
      </c>
      <c r="K9" t="inlineStr">
        <is>
          <t>Oui</t>
        </is>
      </c>
      <c r="L9" t="n">
        <v>1</v>
      </c>
      <c r="M9" t="n">
        <v>6.81339</v>
      </c>
    </row>
    <row r="10">
      <c r="A10" t="inlineStr">
        <is>
          <t>RGK26-03985</t>
        </is>
      </c>
      <c r="B10" t="inlineStr">
        <is>
          <t>06/05/2026</t>
        </is>
      </c>
      <c r="C10" t="n">
        <v>6</v>
      </c>
      <c r="D10" t="inlineStr">
        <is>
          <t>18016</t>
        </is>
      </c>
      <c r="E10" t="inlineStr">
        <is>
          <t>Turkish Honey/White Nougat — flavoured black tea</t>
        </is>
      </c>
      <c r="F10" t="inlineStr">
        <is>
          <t>18016</t>
        </is>
      </c>
      <c r="G10" t="inlineStr">
        <is>
          <t>LOTK071198</t>
        </is>
      </c>
      <c r="H10" t="inlineStr">
        <is>
          <t>09023000000</t>
        </is>
      </c>
      <c r="I10" t="inlineStr">
        <is>
          <t>10 × 1 kg</t>
        </is>
      </c>
      <c r="J10" t="n">
        <v>10</v>
      </c>
      <c r="K10" t="inlineStr">
        <is>
          <t>Oui</t>
        </is>
      </c>
      <c r="L10" t="n">
        <v>1</v>
      </c>
      <c r="M10" t="n">
        <v>6.81339</v>
      </c>
    </row>
    <row r="11">
      <c r="A11" t="inlineStr">
        <is>
          <t>RGK26-03985</t>
        </is>
      </c>
      <c r="B11" t="inlineStr">
        <is>
          <t>06/05/2026</t>
        </is>
      </c>
      <c r="C11" t="n">
        <v>7</v>
      </c>
      <c r="D11" t="inlineStr">
        <is>
          <t>25209</t>
        </is>
      </c>
      <c r="E11" t="inlineStr">
        <is>
          <t>Mocca/Cream — flavoured Rooibos blend</t>
        </is>
      </c>
      <c r="F11" t="inlineStr">
        <is>
          <t>MP_1V0874 Café liégeois</t>
        </is>
      </c>
      <c r="G11" t="inlineStr">
        <is>
          <t>LOTK065642</t>
        </is>
      </c>
      <c r="H11" t="inlineStr">
        <is>
          <t>21069098690</t>
        </is>
      </c>
      <c r="I11" t="inlineStr">
        <is>
          <t>5 × 1 kg</t>
        </is>
      </c>
      <c r="J11" t="n">
        <v>5</v>
      </c>
      <c r="K11" t="inlineStr">
        <is>
          <t>Oui</t>
        </is>
      </c>
      <c r="L11" t="n">
        <v>1</v>
      </c>
      <c r="M11" t="n">
        <v>3.406695</v>
      </c>
    </row>
    <row r="12">
      <c r="A12" t="inlineStr">
        <is>
          <t>RGK26-03985</t>
        </is>
      </c>
      <c r="B12" t="inlineStr">
        <is>
          <t>06/05/2026</t>
        </is>
      </c>
      <c r="C12" t="n">
        <v>8</v>
      </c>
      <c r="D12" t="inlineStr">
        <is>
          <t>1_VERS</t>
        </is>
      </c>
      <c r="E12" t="inlineStr">
        <is>
          <t>Assurance</t>
        </is>
      </c>
      <c r="F12" t="inlineStr"/>
      <c r="G12" t="inlineStr"/>
      <c r="H12" t="inlineStr"/>
      <c r="I12" t="inlineStr">
        <is>
          <t>1</t>
        </is>
      </c>
      <c r="K12" t="inlineStr">
        <is>
          <t>Non — frais</t>
        </is>
      </c>
    </row>
    <row r="13">
      <c r="A13" t="inlineStr">
        <is>
          <t>RGK26-03985</t>
        </is>
      </c>
      <c r="B13" t="inlineStr">
        <is>
          <t>06/05/2026</t>
        </is>
      </c>
      <c r="C13" t="n">
        <v>9</v>
      </c>
      <c r="D13" t="inlineStr">
        <is>
          <t>2_MAUT</t>
        </is>
      </c>
      <c r="E13" t="inlineStr">
        <is>
          <t>Péage</t>
        </is>
      </c>
      <c r="F13" t="inlineStr"/>
      <c r="G13" t="inlineStr"/>
      <c r="H13" t="inlineStr"/>
      <c r="I13" t="inlineStr">
        <is>
          <t>3</t>
        </is>
      </c>
      <c r="K13" t="inlineStr">
        <is>
          <t>Non — frais</t>
        </is>
      </c>
    </row>
    <row r="14">
      <c r="A14" t="inlineStr">
        <is>
          <t>RGK26-03998</t>
        </is>
      </c>
      <c r="B14" t="inlineStr">
        <is>
          <t>07/05/2026</t>
        </is>
      </c>
      <c r="C14" t="n">
        <v>1</v>
      </c>
      <c r="D14" t="inlineStr">
        <is>
          <t>388124</t>
        </is>
      </c>
      <c r="E14" t="inlineStr">
        <is>
          <t>Fennel/Camomile — non-flavoured fruit/herbal tea blend</t>
        </is>
      </c>
      <c r="F14" t="inlineStr">
        <is>
          <t>MP_1V0121 Lady Dodo</t>
        </is>
      </c>
      <c r="G14" t="inlineStr">
        <is>
          <t>LOTK072410</t>
        </is>
      </c>
      <c r="H14" t="inlineStr">
        <is>
          <t>21069092859</t>
        </is>
      </c>
      <c r="I14" t="inlineStr">
        <is>
          <t>1 × 10 kg</t>
        </is>
      </c>
      <c r="J14" t="n">
        <v>10</v>
      </c>
      <c r="K14" t="inlineStr">
        <is>
          <t>Oui</t>
        </is>
      </c>
      <c r="L14" t="n">
        <v>1</v>
      </c>
      <c r="M14" t="n">
        <v>6.81339</v>
      </c>
    </row>
    <row r="15">
      <c r="A15" t="inlineStr">
        <is>
          <t>RGK26-03998</t>
        </is>
      </c>
      <c r="B15" t="inlineStr">
        <is>
          <t>07/05/2026</t>
        </is>
      </c>
      <c r="C15" t="n">
        <v>2</v>
      </c>
      <c r="D15" t="inlineStr">
        <is>
          <t>2_MAUT</t>
        </is>
      </c>
      <c r="E15" t="inlineStr">
        <is>
          <t>Péage</t>
        </is>
      </c>
      <c r="F15" t="inlineStr"/>
      <c r="G15" t="inlineStr"/>
      <c r="H15" t="inlineStr"/>
      <c r="I15" t="inlineStr">
        <is>
          <t>1</t>
        </is>
      </c>
      <c r="K15" t="inlineStr">
        <is>
          <t>Non — frais</t>
        </is>
      </c>
    </row>
    <row r="17">
      <c r="A17" s="1" t="inlineStr">
        <is>
          <t>Sous-total RGK26-03985</t>
        </is>
      </c>
      <c r="J17" t="n">
        <v>40</v>
      </c>
      <c r="L17" t="n">
        <v>1</v>
      </c>
      <c r="M17" t="n">
        <v>27.25356</v>
      </c>
    </row>
    <row r="18">
      <c r="A18" s="1" t="inlineStr">
        <is>
          <t>Sous-total RGK26-03998</t>
        </is>
      </c>
      <c r="J18" t="n">
        <v>10</v>
      </c>
      <c r="L18" t="n">
        <v>1</v>
      </c>
      <c r="M18" t="n">
        <v>6.81339</v>
      </c>
    </row>
    <row r="19">
      <c r="A19" s="1" t="inlineStr">
        <is>
          <t>TOTAL déclaration partie 1</t>
        </is>
      </c>
      <c r="J19" s="1" t="n">
        <v>50</v>
      </c>
      <c r="M19" s="1" t="n">
        <v>34.06695</v>
      </c>
    </row>
    <row r="21">
      <c r="A21" t="inlineStr">
        <is>
          <t>Taux accises 1 = 0.681339 €/kg (thé sans sucre ajouté) — Taux 2 = 1.192343 €/kg (avec sucre ajouté)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2026-06-04T13:44:17Z</dcterms:created>
  <dcterms:modified xmlns:dcterms="http://purl.org/dc/terms/" xmlns:xsi="http://www.w3.org/2001/XMLSchema-instance" xsi:type="dcterms:W3CDTF">2026-06-04T13:44:17Z</dcterms:modified>
</cp:coreProperties>
</file>
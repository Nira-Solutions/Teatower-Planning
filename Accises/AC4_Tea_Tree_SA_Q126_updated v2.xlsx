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out 25" sheetId="1" state="visible" r:id="rId1"/>
    <sheet xmlns:r="http://schemas.openxmlformats.org/officeDocument/2006/relationships" name="Sept25" sheetId="2" state="visible" r:id="rId2"/>
    <sheet xmlns:r="http://schemas.openxmlformats.org/officeDocument/2006/relationships" name="Oct-25" sheetId="3" state="visible" r:id="rId3"/>
    <sheet xmlns:r="http://schemas.openxmlformats.org/officeDocument/2006/relationships" name="Nov-25" sheetId="4" state="visible" r:id="rId4"/>
    <sheet xmlns:r="http://schemas.openxmlformats.org/officeDocument/2006/relationships" name="DEC25" sheetId="5" state="visible" r:id="rId5"/>
    <sheet xmlns:r="http://schemas.openxmlformats.org/officeDocument/2006/relationships" name="Q126" sheetId="6" state="visible" r:id="rId6"/>
    <sheet xmlns:r="http://schemas.openxmlformats.org/officeDocument/2006/relationships" name="Avril-26" sheetId="7" state="visible" r:id="rId7"/>
    <sheet xmlns:r="http://schemas.openxmlformats.org/officeDocument/2006/relationships" name="Mai-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\ [$€-1]"/>
    <numFmt numFmtId="165" formatCode="dd/mm/yyyy"/>
    <numFmt numFmtId="166" formatCode="d/m/yyyy"/>
    <numFmt numFmtId="167" formatCode="dd/mm/yy"/>
    <numFmt numFmtId="168" formatCode="DD/MM/YYYY"/>
    <numFmt numFmtId="169" formatCode="#,##0.00 €"/>
    <numFmt numFmtId="170" formatCode="dd-mm-yyyy"/>
    <numFmt numFmtId="171" formatCode="#,##0.000000"/>
    <numFmt numFmtId="172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/>
    <font>
      <name val="Arial"/>
      <color rgb="FFFF0000"/>
    </font>
    <font>
      <name val="Arial"/>
      <color rgb="FF000000"/>
    </font>
    <font>
      <name val="Arial"/>
      <color rgb="FF000000"/>
      <sz val="10"/>
    </font>
    <font>
      <name val="Arial"/>
      <b val="1"/>
      <color theme="1"/>
      <scheme val="minor"/>
    </font>
    <font>
      <name val="Arial"/>
      <color theme="1"/>
      <scheme val="minor"/>
    </font>
    <font>
      <b val="1"/>
    </font>
  </fonts>
  <fills count="2">
    <fill>
      <patternFill/>
    </fill>
    <fill>
      <patternFill patternType="lightGray"/>
    </fill>
  </fills>
  <borders count="22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49" fontId="1" fillId="0" borderId="1" applyAlignment="1" pivotButton="0" quotePrefix="0" xfId="0">
      <alignment horizontal="center" vertical="bottom"/>
    </xf>
    <xf numFmtId="0" fontId="2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4" applyAlignment="1" pivotButton="0" quotePrefix="0" xfId="0">
      <alignment horizontal="center" vertical="bottom" wrapText="1"/>
    </xf>
    <xf numFmtId="0" fontId="2" fillId="0" borderId="5" pivotButton="0" quotePrefix="0" xfId="0"/>
    <xf numFmtId="0" fontId="2" fillId="0" borderId="6" pivotButton="0" quotePrefix="0" xfId="0"/>
    <xf numFmtId="49" fontId="1" fillId="0" borderId="0" applyAlignment="1" pivotButton="0" quotePrefix="0" xfId="0">
      <alignment vertical="bottom"/>
    </xf>
    <xf numFmtId="0" fontId="1" fillId="0" borderId="7" applyAlignment="1" pivotButton="0" quotePrefix="0" xfId="0">
      <alignment horizontal="center" vertical="bottom" wrapText="1"/>
    </xf>
    <xf numFmtId="0" fontId="1" fillId="0" borderId="8" applyAlignment="1" pivotButton="0" quotePrefix="0" xfId="0">
      <alignment horizontal="center" vertical="bottom"/>
    </xf>
    <xf numFmtId="0" fontId="1" fillId="0" borderId="9" applyAlignment="1" pivotButton="0" quotePrefix="0" xfId="0">
      <alignment horizontal="center" vertical="bottom"/>
    </xf>
    <xf numFmtId="164" fontId="1" fillId="0" borderId="10" applyAlignment="1" pivotButton="0" quotePrefix="0" xfId="0">
      <alignment horizontal="center" vertical="bottom"/>
    </xf>
    <xf numFmtId="0" fontId="1" fillId="0" borderId="10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4" fillId="0" borderId="7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/>
    </xf>
    <xf numFmtId="165" fontId="4" fillId="0" borderId="8" applyAlignment="1" pivotButton="0" quotePrefix="0" xfId="0">
      <alignment horizontal="center" vertical="bottom"/>
    </xf>
    <xf numFmtId="2" fontId="4" fillId="0" borderId="9" applyAlignment="1" pivotButton="0" quotePrefix="0" xfId="0">
      <alignment horizontal="center" vertical="bottom"/>
    </xf>
    <xf numFmtId="164" fontId="4" fillId="0" borderId="10" applyAlignment="1" pivotButton="0" quotePrefix="0" xfId="0">
      <alignment horizontal="center" vertical="bottom"/>
    </xf>
    <xf numFmtId="166" fontId="4" fillId="0" borderId="8" applyAlignment="1" pivotButton="0" quotePrefix="0" xfId="0">
      <alignment horizontal="center" vertical="bottom"/>
    </xf>
    <xf numFmtId="2" fontId="4" fillId="0" borderId="10" applyAlignment="1" pivotButton="0" quotePrefix="0" xfId="0">
      <alignment horizontal="center" vertical="bottom"/>
    </xf>
    <xf numFmtId="167" fontId="4" fillId="0" borderId="8" applyAlignment="1" pivotButton="0" quotePrefix="0" xfId="0">
      <alignment horizontal="center" vertical="bottom"/>
    </xf>
    <xf numFmtId="0" fontId="4" fillId="0" borderId="11" applyAlignment="1" pivotButton="0" quotePrefix="0" xfId="0">
      <alignment vertical="bottom"/>
    </xf>
    <xf numFmtId="0" fontId="4" fillId="0" borderId="12" applyAlignment="1" pivotButton="0" quotePrefix="0" xfId="0">
      <alignment vertical="bottom"/>
    </xf>
    <xf numFmtId="166" fontId="4" fillId="0" borderId="12" applyAlignment="1" pivotButton="0" quotePrefix="0" xfId="0">
      <alignment vertical="bottom"/>
    </xf>
    <xf numFmtId="0" fontId="4" fillId="0" borderId="13" applyAlignment="1" pivotButton="0" quotePrefix="0" xfId="0">
      <alignment vertical="bottom"/>
    </xf>
    <xf numFmtId="2" fontId="4" fillId="0" borderId="13" applyAlignment="1" pivotButton="0" quotePrefix="0" xfId="0">
      <alignment horizontal="center" vertical="bottom"/>
    </xf>
    <xf numFmtId="0" fontId="4" fillId="0" borderId="14" applyAlignment="1" pivotButton="0" quotePrefix="0" xfId="0">
      <alignment horizontal="center" vertical="bottom" wrapText="1"/>
    </xf>
    <xf numFmtId="0" fontId="4" fillId="0" borderId="15" applyAlignment="1" pivotButton="0" quotePrefix="0" xfId="0">
      <alignment vertical="bottom"/>
    </xf>
    <xf numFmtId="2" fontId="4" fillId="0" borderId="16" applyAlignment="1" pivotButton="0" quotePrefix="0" xfId="0">
      <alignment horizontal="center" vertical="bottom"/>
    </xf>
    <xf numFmtId="164" fontId="4" fillId="0" borderId="16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2" fontId="4" fillId="0" borderId="0" applyAlignment="1" pivotButton="0" quotePrefix="0" xfId="0">
      <alignment vertical="bottom"/>
    </xf>
    <xf numFmtId="2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0" fontId="5" fillId="0" borderId="0" pivotButton="0" quotePrefix="0" xfId="0"/>
    <xf numFmtId="164" fontId="1" fillId="0" borderId="0" pivotButton="0" quotePrefix="0" xfId="0"/>
    <xf numFmtId="0" fontId="1" fillId="0" borderId="7" applyAlignment="1" pivotButton="0" quotePrefix="0" xfId="0">
      <alignment vertical="bottom"/>
    </xf>
    <xf numFmtId="0" fontId="1" fillId="0" borderId="8" applyAlignment="1" pivotButton="0" quotePrefix="0" xfId="0">
      <alignment vertical="bottom"/>
    </xf>
    <xf numFmtId="165" fontId="1" fillId="0" borderId="8" applyAlignment="1" pivotButton="0" quotePrefix="0" xfId="0">
      <alignment vertical="bottom"/>
    </xf>
    <xf numFmtId="2" fontId="1" fillId="0" borderId="9" applyAlignment="1" pivotButton="0" quotePrefix="0" xfId="0">
      <alignment vertical="bottom"/>
    </xf>
    <xf numFmtId="164" fontId="1" fillId="0" borderId="10" applyAlignment="1" pivotButton="0" quotePrefix="0" xfId="0">
      <alignment vertical="bottom"/>
    </xf>
    <xf numFmtId="166" fontId="1" fillId="0" borderId="8" applyAlignment="1" pivotButton="0" quotePrefix="0" xfId="0">
      <alignment vertical="bottom"/>
    </xf>
    <xf numFmtId="2" fontId="1" fillId="0" borderId="10" applyAlignment="1" pivotButton="0" quotePrefix="0" xfId="0">
      <alignment vertical="bottom"/>
    </xf>
    <xf numFmtId="165" fontId="1" fillId="0" borderId="8" applyAlignment="1" pivotButton="0" quotePrefix="0" xfId="0">
      <alignment horizontal="center" vertical="bottom"/>
    </xf>
    <xf numFmtId="2" fontId="1" fillId="0" borderId="9" applyAlignment="1" pivotButton="0" quotePrefix="0" xfId="0">
      <alignment horizontal="center" vertical="bottom"/>
    </xf>
    <xf numFmtId="166" fontId="1" fillId="0" borderId="8" applyAlignment="1" pivotButton="0" quotePrefix="0" xfId="0">
      <alignment horizontal="center" vertical="bottom"/>
    </xf>
    <xf numFmtId="167" fontId="1" fillId="0" borderId="8" applyAlignment="1" pivotButton="0" quotePrefix="0" xfId="0">
      <alignment horizontal="center" vertical="bottom"/>
    </xf>
    <xf numFmtId="0" fontId="1" fillId="0" borderId="11" applyAlignment="1" pivotButton="0" quotePrefix="0" xfId="0">
      <alignment vertical="bottom"/>
    </xf>
    <xf numFmtId="0" fontId="1" fillId="0" borderId="12" applyAlignment="1" pivotButton="0" quotePrefix="0" xfId="0">
      <alignment horizontal="right" vertical="bottom"/>
    </xf>
    <xf numFmtId="166" fontId="1" fillId="0" borderId="12" applyAlignment="1" pivotButton="0" quotePrefix="0" xfId="0">
      <alignment horizontal="right" vertical="bottom"/>
    </xf>
    <xf numFmtId="0" fontId="1" fillId="0" borderId="13" applyAlignment="1" pivotButton="0" quotePrefix="0" xfId="0">
      <alignment horizontal="right" vertical="bottom"/>
    </xf>
    <xf numFmtId="2" fontId="1" fillId="0" borderId="13" applyAlignment="1" pivotButton="0" quotePrefix="0" xfId="0">
      <alignment horizontal="center" vertical="bottom"/>
    </xf>
    <xf numFmtId="0" fontId="1" fillId="0" borderId="12" applyAlignment="1" pivotButton="0" quotePrefix="0" xfId="0">
      <alignment vertical="bottom"/>
    </xf>
    <xf numFmtId="166" fontId="1" fillId="0" borderId="12" applyAlignment="1" pivotButton="0" quotePrefix="0" xfId="0">
      <alignment vertical="bottom"/>
    </xf>
    <xf numFmtId="0" fontId="1" fillId="0" borderId="13" applyAlignment="1" pivotButton="0" quotePrefix="0" xfId="0">
      <alignment vertical="bottom"/>
    </xf>
    <xf numFmtId="2" fontId="1" fillId="0" borderId="13" applyAlignment="1" pivotButton="0" quotePrefix="0" xfId="0">
      <alignment vertical="bottom"/>
    </xf>
    <xf numFmtId="0" fontId="1" fillId="0" borderId="14" applyAlignment="1" pivotButton="0" quotePrefix="0" xfId="0">
      <alignment horizontal="center" vertical="bottom" wrapText="1"/>
    </xf>
    <xf numFmtId="0" fontId="1" fillId="0" borderId="15" applyAlignment="1" pivotButton="0" quotePrefix="0" xfId="0">
      <alignment vertical="bottom"/>
    </xf>
    <xf numFmtId="2" fontId="1" fillId="0" borderId="16" applyAlignment="1" pivotButton="0" quotePrefix="0" xfId="0">
      <alignment horizontal="center" vertical="bottom"/>
    </xf>
    <xf numFmtId="2" fontId="1" fillId="0" borderId="16" applyAlignment="1" pivotButton="0" quotePrefix="0" xfId="0">
      <alignment vertical="bottom"/>
    </xf>
    <xf numFmtId="164" fontId="1" fillId="0" borderId="16" applyAlignment="1" pivotButton="0" quotePrefix="0" xfId="0">
      <alignment horizontal="center" vertical="bottom"/>
    </xf>
    <xf numFmtId="164" fontId="1" fillId="0" borderId="0" applyAlignment="1" pivotButton="0" quotePrefix="0" xfId="0">
      <alignment vertical="bottom"/>
    </xf>
    <xf numFmtId="2" fontId="1" fillId="0" borderId="10" applyAlignment="1" pivotButton="0" quotePrefix="0" xfId="0">
      <alignment horizontal="center" vertical="bottom"/>
    </xf>
    <xf numFmtId="2" fontId="1" fillId="0" borderId="0" applyAlignment="1" pivotButton="0" quotePrefix="0" xfId="0">
      <alignment vertical="bottom"/>
    </xf>
    <xf numFmtId="2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0" fontId="1" fillId="0" borderId="0" pivotButton="0" quotePrefix="0" xfId="0"/>
    <xf numFmtId="0" fontId="1" fillId="0" borderId="11" applyAlignment="1" pivotButton="0" quotePrefix="0" xfId="0">
      <alignment horizontal="center" vertical="bottom" wrapText="1"/>
    </xf>
    <xf numFmtId="2" fontId="1" fillId="0" borderId="17" applyAlignment="1" pivotButton="0" quotePrefix="0" xfId="0">
      <alignment horizontal="center" vertical="bottom"/>
    </xf>
    <xf numFmtId="49" fontId="6" fillId="0" borderId="1" applyAlignment="1" pivotButton="0" quotePrefix="0" xfId="0">
      <alignment horizontal="center" vertical="bottom"/>
    </xf>
    <xf numFmtId="49" fontId="1" fillId="0" borderId="2" applyAlignment="1" pivotButton="0" quotePrefix="0" xfId="0">
      <alignment horizontal="center" vertical="bottom"/>
    </xf>
    <xf numFmtId="49" fontId="1" fillId="0" borderId="3" applyAlignment="1" pivotButton="0" quotePrefix="0" xfId="0">
      <alignment horizontal="center" vertical="bottom"/>
    </xf>
    <xf numFmtId="49" fontId="6" fillId="0" borderId="18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6" fillId="0" borderId="4" applyAlignment="1" pivotButton="0" quotePrefix="0" xfId="0">
      <alignment horizontal="center" vertical="bottom" wrapText="1"/>
    </xf>
    <xf numFmtId="0" fontId="1" fillId="0" borderId="5" applyAlignment="1" pivotButton="0" quotePrefix="0" xfId="0">
      <alignment horizontal="center" vertical="bottom" wrapText="1"/>
    </xf>
    <xf numFmtId="0" fontId="1" fillId="0" borderId="6" applyAlignment="1" pivotButton="0" quotePrefix="0" xfId="0">
      <alignment horizontal="center" vertical="bottom" wrapText="1"/>
    </xf>
    <xf numFmtId="0" fontId="6" fillId="0" borderId="19" applyAlignment="1" pivotButton="0" quotePrefix="0" xfId="0">
      <alignment horizontal="center" vertical="bottom" wrapText="1"/>
    </xf>
    <xf numFmtId="0" fontId="6" fillId="0" borderId="7" applyAlignment="1" pivotButton="0" quotePrefix="0" xfId="0">
      <alignment horizontal="center" vertical="bottom" wrapText="1"/>
    </xf>
    <xf numFmtId="0" fontId="6" fillId="0" borderId="8" applyAlignment="1" pivotButton="0" quotePrefix="0" xfId="0">
      <alignment horizontal="center" vertical="bottom"/>
    </xf>
    <xf numFmtId="0" fontId="6" fillId="0" borderId="9" applyAlignment="1" pivotButton="0" quotePrefix="0" xfId="0">
      <alignment horizontal="center" vertical="bottom"/>
    </xf>
    <xf numFmtId="164" fontId="6" fillId="0" borderId="10" applyAlignment="1" pivotButton="0" quotePrefix="0" xfId="0">
      <alignment horizontal="center" vertical="bottom"/>
    </xf>
    <xf numFmtId="0" fontId="6" fillId="0" borderId="10" applyAlignment="1" pivotButton="0" quotePrefix="0" xfId="0">
      <alignment horizontal="center" vertical="bottom"/>
    </xf>
    <xf numFmtId="168" fontId="1" fillId="0" borderId="8" applyAlignment="1" pivotButton="0" quotePrefix="0" xfId="0">
      <alignment vertical="bottom"/>
    </xf>
    <xf numFmtId="4" fontId="1" fillId="0" borderId="8" applyAlignment="1" pivotButton="0" quotePrefix="0" xfId="0">
      <alignment vertical="bottom"/>
    </xf>
    <xf numFmtId="169" fontId="1" fillId="0" borderId="10" applyAlignment="1" pivotButton="0" quotePrefix="0" xfId="0">
      <alignment horizontal="center" vertical="bottom"/>
    </xf>
    <xf numFmtId="4" fontId="5" fillId="0" borderId="0" pivotButton="0" quotePrefix="0" xfId="0"/>
    <xf numFmtId="0" fontId="7" fillId="0" borderId="0" pivotButton="0" quotePrefix="0" xfId="0"/>
    <xf numFmtId="168" fontId="1" fillId="0" borderId="8" applyAlignment="1" pivotButton="0" quotePrefix="0" xfId="0">
      <alignment horizontal="center" vertical="bottom"/>
    </xf>
    <xf numFmtId="4" fontId="1" fillId="0" borderId="8" applyAlignment="1" pivotButton="0" quotePrefix="0" xfId="0">
      <alignment horizontal="center" vertical="bottom"/>
    </xf>
    <xf numFmtId="168" fontId="1" fillId="0" borderId="15" applyAlignment="1" pivotButton="0" quotePrefix="0" xfId="0">
      <alignment vertical="bottom"/>
    </xf>
    <xf numFmtId="4" fontId="1" fillId="0" borderId="16" applyAlignment="1" pivotButton="0" quotePrefix="0" xfId="0">
      <alignment horizontal="center" vertical="bottom"/>
    </xf>
    <xf numFmtId="169" fontId="1" fillId="0" borderId="16" applyAlignment="1" pivotButton="0" quotePrefix="0" xfId="0">
      <alignment horizontal="center" vertical="bottom"/>
    </xf>
    <xf numFmtId="168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9" fontId="1" fillId="0" borderId="0" applyAlignment="1" pivotButton="0" quotePrefix="0" xfId="0">
      <alignment vertical="bottom"/>
    </xf>
    <xf numFmtId="4" fontId="1" fillId="0" borderId="10" applyAlignment="1" pivotButton="0" quotePrefix="0" xfId="0">
      <alignment horizontal="center" vertical="bottom"/>
    </xf>
    <xf numFmtId="4" fontId="1" fillId="0" borderId="0" applyAlignment="1" pivotButton="0" quotePrefix="0" xfId="0">
      <alignment horizontal="right" vertical="bottom"/>
    </xf>
    <xf numFmtId="169" fontId="1" fillId="0" borderId="0" applyAlignment="1" pivotButton="0" quotePrefix="0" xfId="0">
      <alignment horizontal="right" vertical="bottom"/>
    </xf>
    <xf numFmtId="0" fontId="0" fillId="0" borderId="0" pivotButton="0" quotePrefix="0" xfId="0"/>
    <xf numFmtId="49" fontId="1" fillId="0" borderId="18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0" fontId="1" fillId="0" borderId="19" applyAlignment="1" pivotButton="0" quotePrefix="0" xfId="0">
      <alignment horizontal="center" vertical="bottom" wrapText="1"/>
    </xf>
    <xf numFmtId="0" fontId="0" fillId="0" borderId="5" pivotButton="0" quotePrefix="0" xfId="0"/>
    <xf numFmtId="0" fontId="0" fillId="0" borderId="6" pivotButton="0" quotePrefix="0" xfId="0"/>
    <xf numFmtId="0" fontId="8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Août 2025</t>
        </is>
      </c>
      <c r="B1" s="106" t="n"/>
      <c r="C1" s="106" t="n"/>
      <c r="D1" s="106" t="n"/>
      <c r="E1" s="106" t="n"/>
      <c r="F1" s="107" t="n"/>
      <c r="G1" s="105" t="inlineStr">
        <is>
          <t>Août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D&amp;B</t>
        </is>
      </c>
      <c r="B4" s="18" t="inlineStr">
        <is>
          <t>R1118622</t>
        </is>
      </c>
      <c r="C4" s="19" t="n">
        <v>45873</v>
      </c>
      <c r="D4" s="18" t="n">
        <v>10</v>
      </c>
      <c r="E4" s="20" t="n">
        <v>2</v>
      </c>
      <c r="F4" s="21">
        <f>D4*M3</f>
        <v/>
      </c>
      <c r="G4" s="17" t="inlineStr">
        <is>
          <t>D&amp;B</t>
        </is>
      </c>
      <c r="H4" s="22" t="n"/>
      <c r="I4" s="22" t="n"/>
      <c r="J4" s="18" t="n"/>
      <c r="K4" s="23" t="n"/>
    </row>
    <row r="5" ht="14.25" customHeight="1" s="104">
      <c r="A5" s="17" t="inlineStr">
        <is>
          <t>D&amp;B</t>
        </is>
      </c>
      <c r="B5" s="18" t="inlineStr">
        <is>
          <t>R1120203</t>
        </is>
      </c>
      <c r="C5" s="19" t="n">
        <v>45890</v>
      </c>
      <c r="D5" s="18" t="n">
        <v>20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D&amp;B</t>
        </is>
      </c>
      <c r="B6" s="18" t="inlineStr">
        <is>
          <t>R1120203</t>
        </is>
      </c>
      <c r="C6" s="19" t="n">
        <v>45890</v>
      </c>
      <c r="D6" s="18" t="n">
        <v>66</v>
      </c>
      <c r="E6" s="20" t="n">
        <v>2</v>
      </c>
      <c r="F6" s="21">
        <f>D6*M3</f>
        <v/>
      </c>
      <c r="G6" s="17" t="inlineStr">
        <is>
          <t>D&amp;B</t>
        </is>
      </c>
      <c r="H6" s="18" t="n"/>
      <c r="I6" s="18" t="n"/>
      <c r="J6" s="18" t="n"/>
      <c r="K6" s="23" t="n"/>
    </row>
    <row r="7" ht="14.25" customHeight="1" s="104">
      <c r="A7" s="17" t="inlineStr">
        <is>
          <t>Kirshner Fischer</t>
        </is>
      </c>
      <c r="B7" s="18" t="inlineStr">
        <is>
          <t>RGK25-05355</t>
        </is>
      </c>
      <c r="C7" s="22" t="n">
        <v>45882</v>
      </c>
      <c r="D7" s="18">
        <f>((4986+5009+6130+6000+5042+5110+6068+4675+4644+4900+5768+6060+5125+5000+4900+5040+5983)*2)/1000</f>
        <v/>
      </c>
      <c r="E7" s="20" t="n">
        <v>1</v>
      </c>
      <c r="F7" s="21">
        <f>D7*M1</f>
        <v/>
      </c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inlineStr">
        <is>
          <t>Kirshner Fischer</t>
        </is>
      </c>
      <c r="B8" s="18" t="inlineStr">
        <is>
          <t>RGK25-05220</t>
        </is>
      </c>
      <c r="C8" s="22" t="n">
        <v>45874</v>
      </c>
      <c r="D8" s="18" t="n">
        <v>15</v>
      </c>
      <c r="E8" s="20" t="n">
        <v>1</v>
      </c>
      <c r="F8" s="21">
        <f>D8*M1</f>
        <v/>
      </c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inlineStr">
        <is>
          <t>Kirshner Fischer</t>
        </is>
      </c>
      <c r="B9" s="18" t="inlineStr">
        <is>
          <t>RGK25-05302</t>
        </is>
      </c>
      <c r="C9" s="22" t="n">
        <v>45877</v>
      </c>
      <c r="D9" s="18" t="n">
        <v>10</v>
      </c>
      <c r="E9" s="20" t="n">
        <v>1</v>
      </c>
      <c r="F9" s="21">
        <f>D9*M1</f>
        <v/>
      </c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inlineStr">
        <is>
          <t>Kirshner Fischer</t>
        </is>
      </c>
      <c r="B10" s="18" t="inlineStr">
        <is>
          <t>RGK25-05306</t>
        </is>
      </c>
      <c r="C10" s="22" t="n">
        <v>45877</v>
      </c>
      <c r="D10" s="18" t="n">
        <v>40</v>
      </c>
      <c r="E10" s="20" t="n">
        <v>1</v>
      </c>
      <c r="F10" s="21">
        <f>D10*M1</f>
        <v/>
      </c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inlineStr">
        <is>
          <t>Kirshner Fischer</t>
        </is>
      </c>
      <c r="B11" s="18" t="inlineStr">
        <is>
          <t>RGK25-05313</t>
        </is>
      </c>
      <c r="C11" s="22" t="n">
        <v>45877</v>
      </c>
      <c r="D11" s="18" t="n">
        <v>80</v>
      </c>
      <c r="E11" s="20" t="n">
        <v>1</v>
      </c>
      <c r="F11" s="21">
        <f>D11*M1</f>
        <v/>
      </c>
      <c r="G11" s="17" t="inlineStr">
        <is>
          <t>Kirshner Fischer</t>
        </is>
      </c>
      <c r="H11" s="22" t="n"/>
      <c r="I11" s="22" t="n"/>
      <c r="J11" s="18" t="n"/>
      <c r="K11" s="23" t="n"/>
    </row>
    <row r="12" ht="14.25" customHeight="1" s="104">
      <c r="A12" s="17" t="inlineStr">
        <is>
          <t>Kirshner Fischer</t>
        </is>
      </c>
      <c r="B12" s="18" t="inlineStr">
        <is>
          <t>RGK25-05406</t>
        </is>
      </c>
      <c r="C12" s="24" t="n">
        <v>45882</v>
      </c>
      <c r="D12" s="18" t="n">
        <v>120</v>
      </c>
      <c r="E12" s="20" t="n">
        <v>1</v>
      </c>
      <c r="F12" s="21">
        <f>D12*M1</f>
        <v/>
      </c>
      <c r="G12" s="17" t="inlineStr">
        <is>
          <t>Kirshner Fischer</t>
        </is>
      </c>
      <c r="H12" s="18" t="n"/>
      <c r="I12" s="18" t="n"/>
      <c r="J12" s="18" t="n"/>
      <c r="K12" s="23" t="n"/>
    </row>
    <row r="13" ht="14.25" customHeight="1" s="104">
      <c r="A13" s="17" t="inlineStr">
        <is>
          <t>Kirshner Fischer</t>
        </is>
      </c>
      <c r="B13" s="18" t="inlineStr">
        <is>
          <t>RGK25-05184</t>
        </is>
      </c>
      <c r="C13" s="19" t="n">
        <v>45874</v>
      </c>
      <c r="D13" s="18" t="n">
        <v>130</v>
      </c>
      <c r="E13" s="20" t="n">
        <v>1</v>
      </c>
      <c r="F13" s="21">
        <f>D13*M1</f>
        <v/>
      </c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inlineStr">
        <is>
          <t>kirshner Fischer</t>
        </is>
      </c>
      <c r="B14" s="18" t="inlineStr">
        <is>
          <t>RGK25-05493</t>
        </is>
      </c>
      <c r="C14" s="19" t="n">
        <v>45888</v>
      </c>
      <c r="D14" s="18" t="n">
        <v>120</v>
      </c>
      <c r="E14" s="20" t="n">
        <v>1</v>
      </c>
      <c r="F14" s="21">
        <f>D14*M1</f>
        <v/>
      </c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17" t="inlineStr">
        <is>
          <t>kirshner Fischer</t>
        </is>
      </c>
      <c r="B15" s="18" t="inlineStr">
        <is>
          <t>RGK25-05146</t>
        </is>
      </c>
      <c r="C15" s="19" t="n">
        <v>45870</v>
      </c>
      <c r="D15" s="18" t="n">
        <v>50</v>
      </c>
      <c r="E15" s="20" t="n">
        <v>1</v>
      </c>
      <c r="F15" s="21">
        <f>D15*M1</f>
        <v/>
      </c>
      <c r="G15" s="17" t="inlineStr">
        <is>
          <t>kirshner Fischer</t>
        </is>
      </c>
      <c r="H15" s="22" t="n"/>
      <c r="I15" s="22" t="n"/>
      <c r="J15" s="18" t="n"/>
      <c r="K15" s="23" t="n"/>
    </row>
    <row r="16" ht="14.25" customHeight="1" s="104">
      <c r="A16" s="25" t="inlineStr">
        <is>
          <t>Sinass</t>
        </is>
      </c>
      <c r="B16" s="26" t="n">
        <v>193165</v>
      </c>
      <c r="C16" s="27" t="n">
        <v>45890</v>
      </c>
      <c r="D16" s="28" t="n">
        <v>119.8</v>
      </c>
      <c r="E16" s="29" t="n">
        <v>1</v>
      </c>
      <c r="F16" s="21">
        <f>D16*M1</f>
        <v/>
      </c>
      <c r="G16" s="25" t="inlineStr">
        <is>
          <t>Sinass</t>
        </is>
      </c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25" t="n"/>
      <c r="B18" s="26" t="n"/>
      <c r="C18" s="27" t="n"/>
      <c r="D18" s="28" t="n"/>
      <c r="E18" s="29" t="n"/>
      <c r="F18" s="21" t="n"/>
      <c r="G18" s="25" t="n"/>
      <c r="H18" s="26" t="n"/>
      <c r="I18" s="27" t="n"/>
      <c r="J18" s="28" t="n"/>
      <c r="K18" s="23" t="n"/>
    </row>
    <row r="19" ht="14.25" customHeight="1" s="104">
      <c r="A19" s="30" t="inlineStr">
        <is>
          <t>Total du mois</t>
        </is>
      </c>
      <c r="B19" s="31" t="n"/>
      <c r="C19" s="31" t="n"/>
      <c r="D19" s="32">
        <f>SUM(D4:D18)</f>
        <v/>
      </c>
      <c r="E19" s="32" t="n"/>
      <c r="F19" s="33">
        <f>SUM(F4:F18)</f>
        <v/>
      </c>
      <c r="G19" s="30" t="inlineStr">
        <is>
          <t>Total du mois</t>
        </is>
      </c>
      <c r="H19" s="31" t="n"/>
      <c r="I19" s="31" t="n"/>
      <c r="J19" s="32">
        <f>SUM(J4:J18)</f>
        <v/>
      </c>
      <c r="K19" s="32">
        <f>SUM(K4:K18)</f>
        <v/>
      </c>
    </row>
    <row r="20" ht="14.25" customHeight="1" s="104">
      <c r="A20" s="34" t="n"/>
      <c r="B20" s="34" t="n"/>
      <c r="C20" s="34" t="n"/>
      <c r="D20" s="34" t="n"/>
      <c r="E20" s="34" t="n"/>
      <c r="F20" s="35" t="n"/>
      <c r="G20" s="34" t="n"/>
      <c r="H20" s="34" t="n"/>
      <c r="I20" s="34" t="n"/>
      <c r="J20" s="34" t="n"/>
      <c r="K20" s="34" t="n"/>
    </row>
    <row r="21" ht="14.25" customHeight="1" s="104">
      <c r="A21" s="34" t="n"/>
      <c r="B21" s="34" t="n"/>
      <c r="C21" s="34" t="inlineStr">
        <is>
          <t>Taux 1</t>
        </is>
      </c>
      <c r="D21" s="23">
        <f>D5+D7+D8+D9+D10+D11+D12+D13+D14+D15+D16</f>
        <v/>
      </c>
      <c r="E21" s="23" t="n"/>
      <c r="F21" s="21">
        <f>D21*$M$1</f>
        <v/>
      </c>
      <c r="G21" s="34" t="n"/>
      <c r="H21" s="34" t="inlineStr">
        <is>
          <t xml:space="preserve">   </t>
        </is>
      </c>
      <c r="I21" s="34" t="n"/>
      <c r="J21" s="23">
        <f>J4+J5+J7+J8+J9+J10+J11+J13+J14+J15</f>
        <v/>
      </c>
      <c r="K21" s="36" t="n"/>
    </row>
    <row r="22" ht="15.75" customHeight="1" s="104">
      <c r="A22" s="34" t="n"/>
      <c r="B22" s="34" t="n"/>
      <c r="C22" s="34" t="inlineStr">
        <is>
          <t>Taux 2</t>
        </is>
      </c>
      <c r="D22" s="23">
        <f>D4+D6</f>
        <v/>
      </c>
      <c r="E22" s="23" t="n"/>
      <c r="F22" s="21">
        <f>D22*$M$3</f>
        <v/>
      </c>
      <c r="G22" s="34" t="n"/>
      <c r="H22" s="34" t="n"/>
      <c r="I22" s="34" t="n"/>
      <c r="J22" s="23">
        <f>J6+J12</f>
        <v/>
      </c>
      <c r="K22" s="36" t="n"/>
    </row>
    <row r="23" ht="15.75" customHeight="1" s="104">
      <c r="A23" s="34" t="n"/>
      <c r="B23" s="34" t="n"/>
      <c r="C23" s="34" t="n"/>
      <c r="D23" s="37">
        <f>SUM(D21:D22)</f>
        <v/>
      </c>
      <c r="E23" s="37" t="n"/>
      <c r="F23" s="38">
        <f>SUM(F21:F22)</f>
        <v/>
      </c>
      <c r="G23" s="34" t="n"/>
      <c r="H23" s="34" t="n"/>
      <c r="I23" s="34" t="n"/>
      <c r="J23" s="37">
        <f>SUM(J21:J22)</f>
        <v/>
      </c>
      <c r="K23" s="36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40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Septembre 2025</t>
        </is>
      </c>
      <c r="B1" s="106" t="n"/>
      <c r="C1" s="106" t="n"/>
      <c r="D1" s="106" t="n"/>
      <c r="E1" s="106" t="n"/>
      <c r="F1" s="107" t="n"/>
      <c r="G1" s="105" t="inlineStr">
        <is>
          <t>Septembre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Kirshner Fischer</t>
        </is>
      </c>
      <c r="B4" s="18" t="inlineStr">
        <is>
          <t>RGK25-05825</t>
        </is>
      </c>
      <c r="C4" s="19" t="n">
        <v>45904</v>
      </c>
      <c r="D4" s="18">
        <f>9795*0.003</f>
        <v/>
      </c>
      <c r="E4" s="20" t="n">
        <v>1</v>
      </c>
      <c r="F4" s="21">
        <f>D4*M1</f>
        <v/>
      </c>
      <c r="G4" s="17" t="inlineStr">
        <is>
          <t>D&amp;B</t>
        </is>
      </c>
      <c r="H4" s="18" t="n"/>
      <c r="I4" s="18" t="n"/>
      <c r="J4" s="18" t="n"/>
      <c r="K4" s="23" t="n"/>
    </row>
    <row r="5" ht="14.25" customHeight="1" s="104">
      <c r="A5" s="17" t="inlineStr">
        <is>
          <t>Kirshner Fischer</t>
        </is>
      </c>
      <c r="B5" s="18" t="inlineStr">
        <is>
          <t>RGK25-05952</t>
        </is>
      </c>
      <c r="C5" s="19" t="n">
        <v>45910</v>
      </c>
      <c r="D5" s="18" t="n">
        <v>100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Kirshner Fischer</t>
        </is>
      </c>
      <c r="B6" s="18" t="inlineStr">
        <is>
          <t>RGK25-06279</t>
        </is>
      </c>
      <c r="C6" s="22" t="n">
        <v>45923</v>
      </c>
      <c r="D6" s="18" t="n">
        <v>80</v>
      </c>
      <c r="E6" s="20" t="n">
        <v>1</v>
      </c>
      <c r="F6" s="21">
        <f>D6*M1</f>
        <v/>
      </c>
      <c r="G6" s="17" t="inlineStr">
        <is>
          <t>Kirshner Fischer</t>
        </is>
      </c>
      <c r="H6" s="22" t="n"/>
      <c r="I6" s="22" t="n"/>
      <c r="J6" s="18" t="n"/>
      <c r="K6" s="23" t="n"/>
    </row>
    <row r="7" ht="14.25" customHeight="1" s="104">
      <c r="A7" s="17" t="n"/>
      <c r="B7" s="18" t="n"/>
      <c r="C7" s="22" t="n"/>
      <c r="D7" s="18" t="n"/>
      <c r="E7" s="20" t="n"/>
      <c r="F7" s="21" t="n"/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n"/>
      <c r="B8" s="18" t="n"/>
      <c r="C8" s="22" t="n"/>
      <c r="D8" s="18" t="n"/>
      <c r="E8" s="20" t="n"/>
      <c r="F8" s="21" t="n"/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n"/>
      <c r="B9" s="18" t="n"/>
      <c r="C9" s="22" t="n"/>
      <c r="D9" s="18" t="n"/>
      <c r="E9" s="20" t="n"/>
      <c r="F9" s="21" t="n"/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n"/>
      <c r="B10" s="18" t="n"/>
      <c r="C10" s="22" t="n"/>
      <c r="D10" s="18" t="n"/>
      <c r="E10" s="20" t="n"/>
      <c r="F10" s="21" t="n"/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n"/>
      <c r="B11" s="18" t="n"/>
      <c r="C11" s="24" t="n"/>
      <c r="D11" s="18" t="n"/>
      <c r="E11" s="20" t="n"/>
      <c r="F11" s="21" t="n"/>
      <c r="G11" s="17" t="inlineStr">
        <is>
          <t>Kirshner Fischer</t>
        </is>
      </c>
      <c r="H11" s="18" t="n"/>
      <c r="I11" s="18" t="n"/>
      <c r="J11" s="18" t="n"/>
      <c r="K11" s="23" t="n"/>
    </row>
    <row r="12" ht="14.25" customHeight="1" s="104">
      <c r="A12" s="17" t="n"/>
      <c r="B12" s="18" t="n"/>
      <c r="C12" s="19" t="n"/>
      <c r="D12" s="18" t="n"/>
      <c r="E12" s="20" t="n"/>
      <c r="F12" s="21" t="n"/>
      <c r="G12" s="17" t="inlineStr">
        <is>
          <t>Kirshner Fischer</t>
        </is>
      </c>
      <c r="H12" s="22" t="n"/>
      <c r="I12" s="22" t="n"/>
      <c r="J12" s="18" t="n"/>
      <c r="K12" s="23" t="n"/>
    </row>
    <row r="13" ht="14.25" customHeight="1" s="104">
      <c r="A13" s="17" t="n"/>
      <c r="B13" s="18" t="n"/>
      <c r="C13" s="19" t="n"/>
      <c r="D13" s="18" t="n"/>
      <c r="E13" s="20" t="n"/>
      <c r="F13" s="21" t="n"/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n"/>
      <c r="B14" s="18" t="n"/>
      <c r="C14" s="19" t="n"/>
      <c r="D14" s="18" t="n"/>
      <c r="E14" s="20" t="n"/>
      <c r="F14" s="21" t="n"/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25" t="n"/>
      <c r="B15" s="26" t="n"/>
      <c r="C15" s="27" t="n"/>
      <c r="D15" s="28" t="n"/>
      <c r="E15" s="29" t="n"/>
      <c r="F15" s="21" t="n"/>
      <c r="G15" s="25" t="inlineStr">
        <is>
          <t>Sinass</t>
        </is>
      </c>
      <c r="H15" s="26" t="n"/>
      <c r="I15" s="27" t="n"/>
      <c r="J15" s="28" t="n"/>
      <c r="K15" s="23" t="n"/>
    </row>
    <row r="16" ht="14.25" customHeight="1" s="104">
      <c r="A16" s="25" t="n"/>
      <c r="B16" s="26" t="n"/>
      <c r="C16" s="27" t="n"/>
      <c r="D16" s="28" t="n"/>
      <c r="E16" s="29" t="n"/>
      <c r="F16" s="21" t="n"/>
      <c r="G16" s="25" t="n"/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30" t="inlineStr">
        <is>
          <t>Total du mois</t>
        </is>
      </c>
      <c r="B18" s="31" t="n"/>
      <c r="C18" s="31" t="n"/>
      <c r="D18" s="32">
        <f>SUM(D4:D17)</f>
        <v/>
      </c>
      <c r="E18" s="32" t="n"/>
      <c r="F18" s="33">
        <f>SUM(F4:F17)</f>
        <v/>
      </c>
      <c r="G18" s="30" t="inlineStr">
        <is>
          <t>Total du mois</t>
        </is>
      </c>
      <c r="H18" s="31" t="n"/>
      <c r="I18" s="31" t="n"/>
      <c r="J18" s="32">
        <f>SUM(J4:J17)</f>
        <v/>
      </c>
      <c r="K18" s="32">
        <f>SUM(K4:K17)</f>
        <v/>
      </c>
    </row>
    <row r="19" ht="14.25" customHeight="1" s="104">
      <c r="A19" s="34" t="n"/>
      <c r="B19" s="34" t="n"/>
      <c r="C19" s="34" t="n"/>
      <c r="D19" s="34" t="n"/>
      <c r="E19" s="34" t="n"/>
      <c r="F19" s="35" t="n"/>
      <c r="G19" s="34" t="n"/>
      <c r="H19" s="34" t="n"/>
      <c r="I19" s="34" t="n"/>
      <c r="J19" s="34" t="n"/>
      <c r="K19" s="34" t="n"/>
    </row>
    <row r="20" ht="14.25" customHeight="1" s="104">
      <c r="A20" s="34" t="n"/>
      <c r="B20" s="34" t="n"/>
      <c r="C20" s="34" t="inlineStr">
        <is>
          <t>Taux 1</t>
        </is>
      </c>
      <c r="D20" s="23">
        <f>D4+D5+D6</f>
        <v/>
      </c>
      <c r="E20" s="23" t="n"/>
      <c r="F20" s="21">
        <f>D20*$M$1</f>
        <v/>
      </c>
      <c r="G20" s="34" t="n"/>
      <c r="H20" s="34" t="inlineStr">
        <is>
          <t xml:space="preserve">   </t>
        </is>
      </c>
      <c r="I20" s="34" t="n"/>
      <c r="J20" s="23" t="n"/>
      <c r="K20" s="36" t="n"/>
    </row>
    <row r="21" ht="15.75" customHeight="1" s="104">
      <c r="A21" s="34" t="n"/>
      <c r="B21" s="34" t="n"/>
      <c r="C21" s="34" t="inlineStr">
        <is>
          <t>Taux 2</t>
        </is>
      </c>
      <c r="D21" s="23" t="n"/>
      <c r="E21" s="23" t="n"/>
      <c r="F21" s="21">
        <f>D21*$M$3</f>
        <v/>
      </c>
      <c r="G21" s="34" t="n"/>
      <c r="H21" s="34" t="n"/>
      <c r="I21" s="34" t="n"/>
      <c r="J21" s="23">
        <f>J5+J11</f>
        <v/>
      </c>
      <c r="K21" s="36" t="n"/>
    </row>
    <row r="22" ht="15.75" customHeight="1" s="104">
      <c r="A22" s="34" t="n"/>
      <c r="B22" s="34" t="n"/>
      <c r="C22" s="34" t="n"/>
      <c r="D22" s="37">
        <f>SUM(D20:D21)</f>
        <v/>
      </c>
      <c r="E22" s="37" t="n"/>
      <c r="F22" s="38">
        <f>SUM(F20:F21)</f>
        <v/>
      </c>
      <c r="G22" s="34" t="n"/>
      <c r="H22" s="34" t="n"/>
      <c r="I22" s="34" t="n"/>
      <c r="J22" s="37">
        <f>SUM(J20:J21)</f>
        <v/>
      </c>
      <c r="K22" s="36" t="n"/>
    </row>
    <row r="23" ht="15.75" customHeight="1" s="104">
      <c r="A23" s="39" t="n"/>
      <c r="B23" s="39" t="n"/>
      <c r="C23" s="39" t="n"/>
      <c r="D23" s="39" t="n"/>
      <c r="E23" s="39" t="n"/>
      <c r="F23" s="40" t="n"/>
      <c r="H23" s="39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39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Octobre25</t>
        </is>
      </c>
      <c r="B1" s="106" t="n"/>
      <c r="C1" s="106" t="n"/>
      <c r="D1" s="106" t="n"/>
      <c r="E1" s="106" t="n"/>
      <c r="F1" s="107" t="n"/>
      <c r="G1" s="105" t="inlineStr">
        <is>
          <t>Octobre25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1" t="n"/>
      <c r="B4" s="42" t="n"/>
      <c r="C4" s="43" t="n"/>
      <c r="D4" s="42" t="n"/>
      <c r="E4" s="44" t="n"/>
      <c r="F4" s="45" t="n"/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1" t="n"/>
      <c r="B5" s="42" t="n"/>
      <c r="C5" s="43" t="n"/>
      <c r="D5" s="42" t="n"/>
      <c r="E5" s="44" t="n"/>
      <c r="F5" s="45" t="n"/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11" t="inlineStr">
        <is>
          <t>RGK25-06998</t>
        </is>
      </c>
      <c r="C6" s="48" t="n">
        <v>45945</v>
      </c>
      <c r="D6" s="11" t="n">
        <v>39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RGK25-07570</t>
        </is>
      </c>
      <c r="C7" s="50" t="n">
        <v>45960</v>
      </c>
      <c r="D7" s="11" t="n">
        <v>90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rgk25-07428</t>
        </is>
      </c>
      <c r="C8" s="50" t="n">
        <v>45958</v>
      </c>
      <c r="D8" s="11" t="n">
        <v>360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Kirshner Fischer</t>
        </is>
      </c>
      <c r="B9" s="11" t="inlineStr">
        <is>
          <t>RGK25-07416</t>
        </is>
      </c>
      <c r="C9" s="50" t="n">
        <v>45958</v>
      </c>
      <c r="D9" s="11" t="n">
        <v>52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RGK25-07381</t>
        </is>
      </c>
      <c r="C10" s="50" t="n">
        <v>45957</v>
      </c>
      <c r="D10" s="11" t="n">
        <v>40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RGK25-07196</t>
        </is>
      </c>
      <c r="C11" s="50" t="n">
        <v>45951</v>
      </c>
      <c r="D11" s="11" t="n">
        <v>40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RGK25-07036</t>
        </is>
      </c>
      <c r="C12" s="51" t="n">
        <v>45946</v>
      </c>
      <c r="D12" s="11" t="n">
        <v>45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RGK25-07059</t>
        </is>
      </c>
      <c r="C13" s="48" t="n">
        <v>45946</v>
      </c>
      <c r="D13" s="11" t="n">
        <v>10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RGK25-07042</t>
        </is>
      </c>
      <c r="C14" s="48" t="n">
        <v>45946</v>
      </c>
      <c r="D14" s="11" t="n">
        <v>60</v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RGK25-07035</t>
        </is>
      </c>
      <c r="C15" s="48" t="n">
        <v>45946</v>
      </c>
      <c r="D15" s="11">
        <f>(504*2+16*1500*2+1720*2+5*2000*2+623+8*1500*2+1863+12*1500*2+1467+11*1500*2)/1000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Sinass</t>
        </is>
      </c>
      <c r="B16" s="53" t="n">
        <v>195020</v>
      </c>
      <c r="C16" s="54" t="n">
        <v>45959</v>
      </c>
      <c r="D16" s="55" t="n">
        <v>90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n"/>
      <c r="B17" s="57" t="n"/>
      <c r="C17" s="58" t="n"/>
      <c r="D17" s="59" t="n"/>
      <c r="E17" s="60" t="n"/>
      <c r="F17" s="45" t="n"/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n"/>
      <c r="B18" s="57" t="n"/>
      <c r="C18" s="58" t="n"/>
      <c r="D18" s="59" t="n"/>
      <c r="E18" s="60" t="n"/>
      <c r="F18" s="45" t="n"/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1" t="inlineStr">
        <is>
          <t>Total du mois</t>
        </is>
      </c>
      <c r="B19" s="62" t="n"/>
      <c r="C19" s="62" t="n"/>
      <c r="D19" s="63">
        <f>SUM(D4:D18)</f>
        <v/>
      </c>
      <c r="E19" s="64" t="n"/>
      <c r="F19" s="65">
        <f>SUM(F4:F18)</f>
        <v/>
      </c>
      <c r="G19" s="61" t="inlineStr">
        <is>
          <t>Total du mois</t>
        </is>
      </c>
      <c r="H19" s="62" t="n"/>
      <c r="I19" s="62" t="n"/>
      <c r="J19" s="63">
        <f>SUM(J4:J18)</f>
        <v/>
      </c>
      <c r="K19" s="63">
        <f>SUM(K4:K18)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inlineStr">
        <is>
          <t>Taux 1</t>
        </is>
      </c>
      <c r="D21" s="67">
        <f>D6+D7+D8+D9+D10+D11+D12+D13+D14+D15+D16</f>
        <v/>
      </c>
      <c r="E21" s="47" t="n"/>
      <c r="F21" s="13">
        <f>D21*$M$1</f>
        <v/>
      </c>
      <c r="G21" s="4" t="n"/>
      <c r="H21" s="4" t="inlineStr">
        <is>
          <t xml:space="preserve">   </t>
        </is>
      </c>
      <c r="I21" s="4" t="n"/>
      <c r="J21" s="67">
        <f>J4+J5+J7+J8+J9+J10+J11+J13+J14+J15</f>
        <v/>
      </c>
      <c r="K21" s="68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2</t>
        </is>
      </c>
      <c r="D22" s="67" t="n">
        <v>0</v>
      </c>
      <c r="E22" s="47" t="n"/>
      <c r="F22" s="13">
        <f>D22*$M$3</f>
        <v/>
      </c>
      <c r="G22" s="4" t="n"/>
      <c r="H22" s="4" t="n"/>
      <c r="I22" s="4" t="n"/>
      <c r="J22" s="67">
        <f>J6+J12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69">
        <f>SUM(D21:D22)</f>
        <v/>
      </c>
      <c r="E23" s="68" t="n"/>
      <c r="F23" s="70">
        <f>SUM(F21:F22)</f>
        <v/>
      </c>
      <c r="G23" s="4" t="n"/>
      <c r="H23" s="4" t="n"/>
      <c r="I23" s="4" t="n"/>
      <c r="J23" s="69">
        <f>SUM(J21:J22)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224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Novembre25</t>
        </is>
      </c>
      <c r="B1" s="106" t="n"/>
      <c r="C1" s="106" t="n"/>
      <c r="D1" s="106" t="n"/>
      <c r="E1" s="106" t="n"/>
      <c r="F1" s="107" t="n"/>
      <c r="G1" s="105" t="inlineStr">
        <is>
          <t>Novembre25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RGK25-07829</t>
        </is>
      </c>
      <c r="C4" s="43" t="n">
        <v>45968</v>
      </c>
      <c r="D4" s="42">
        <f>3000*2/1000</f>
        <v/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RGK25-07803</t>
        </is>
      </c>
      <c r="C5" s="43" t="n">
        <v>45968</v>
      </c>
      <c r="D5" s="71" t="n">
        <v>280</v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RGK25-08524</t>
        </is>
      </c>
      <c r="C6" s="48" t="n">
        <v>45986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RGK25-08443</t>
        </is>
      </c>
      <c r="C7" s="50" t="n">
        <v>45982</v>
      </c>
      <c r="D7" s="11">
        <f>20+5</f>
        <v/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Dethlefsen &amp; Balk</t>
        </is>
      </c>
      <c r="B8" s="11" t="inlineStr">
        <is>
          <t>R1134102</t>
        </is>
      </c>
      <c r="C8" s="50" t="n">
        <v>45981</v>
      </c>
      <c r="D8" s="11" t="n">
        <v>10</v>
      </c>
      <c r="E8" s="49" t="n">
        <v>2</v>
      </c>
      <c r="F8" s="13">
        <f>D8*M3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R1134102</t>
        </is>
      </c>
      <c r="C9" s="50" t="n">
        <v>45981</v>
      </c>
      <c r="D9" s="11" t="n">
        <v>15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RGK25-08348</t>
        </is>
      </c>
      <c r="C10" s="50" t="n">
        <v>45981</v>
      </c>
      <c r="D10" s="11" t="n">
        <v>20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RGK25-08201</t>
        </is>
      </c>
      <c r="C11" s="50" t="n">
        <v>45978</v>
      </c>
      <c r="D11" s="11" t="n">
        <v>100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RGK25-08121</t>
        </is>
      </c>
      <c r="C12" s="51" t="n">
        <v>45975</v>
      </c>
      <c r="D12" s="11" t="n">
        <v>30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RGK25-08122</t>
        </is>
      </c>
      <c r="C13" s="48" t="n">
        <v>45975</v>
      </c>
      <c r="D13" s="11" t="n">
        <v>300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RGK25-07980</t>
        </is>
      </c>
      <c r="C14" s="48" t="n">
        <v>45972</v>
      </c>
      <c r="D14" s="11">
        <f>((1130+25*1500+765+24*1500)*2)/1000</f>
        <v/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RGK25-07972</t>
        </is>
      </c>
      <c r="C15" s="48" t="n">
        <v>45972</v>
      </c>
      <c r="D15" s="11">
        <f>9680*2/1000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Dethlefsen &amp; Balk</t>
        </is>
      </c>
      <c r="B16" s="53" t="inlineStr">
        <is>
          <t>R1131847</t>
        </is>
      </c>
      <c r="C16" s="54" t="n">
        <v>45971</v>
      </c>
      <c r="D16" s="55" t="n">
        <v>40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0" t="inlineStr">
        <is>
          <t>kirshner Fischer</t>
        </is>
      </c>
      <c r="B17" s="57" t="inlineStr">
        <is>
          <t>RGK25-07794</t>
        </is>
      </c>
      <c r="C17" s="58" t="n">
        <v>45967</v>
      </c>
      <c r="D17" s="59" t="n">
        <v>30</v>
      </c>
      <c r="E17" s="56" t="n">
        <v>1</v>
      </c>
      <c r="F17" s="13">
        <f>D17*M1</f>
        <v/>
      </c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inlineStr">
        <is>
          <t>DEthlefsen &amp; Balk</t>
        </is>
      </c>
      <c r="B18" s="57" t="inlineStr">
        <is>
          <t>R1131616</t>
        </is>
      </c>
      <c r="C18" s="58" t="n">
        <v>45967</v>
      </c>
      <c r="D18" s="59" t="n">
        <v>60</v>
      </c>
      <c r="E18" s="60" t="n">
        <v>1</v>
      </c>
      <c r="F18" s="13">
        <f>D18*M1</f>
        <v/>
      </c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2" t="inlineStr">
        <is>
          <t>DEthlefsen &amp; Balk</t>
        </is>
      </c>
      <c r="B19" s="57" t="inlineStr">
        <is>
          <t>R1131616</t>
        </is>
      </c>
      <c r="C19" s="58" t="n">
        <v>45967</v>
      </c>
      <c r="D19" s="59" t="n">
        <v>3</v>
      </c>
      <c r="E19" s="60" t="n">
        <v>2</v>
      </c>
      <c r="F19" s="13">
        <f>D19*M3</f>
        <v/>
      </c>
      <c r="G19" s="72" t="n"/>
      <c r="H19" s="57" t="n"/>
      <c r="I19" s="57" t="n"/>
      <c r="J19" s="56" t="n"/>
      <c r="K19" s="73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1" t="inlineStr">
        <is>
          <t>Total du mois</t>
        </is>
      </c>
      <c r="B20" s="62" t="n"/>
      <c r="C20" s="62" t="n"/>
      <c r="D20" s="63">
        <f>SUM(D4:D19)</f>
        <v/>
      </c>
      <c r="E20" s="64" t="n"/>
      <c r="F20" s="65">
        <f>SUM(F4:F19)</f>
        <v/>
      </c>
      <c r="G20" s="61" t="inlineStr">
        <is>
          <t>Total du mois</t>
        </is>
      </c>
      <c r="H20" s="62" t="n"/>
      <c r="I20" s="62" t="n"/>
      <c r="J20" s="63">
        <f>SUM(J4:J18)</f>
        <v/>
      </c>
      <c r="K20" s="63">
        <f>SUM(K4:K18)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1</t>
        </is>
      </c>
      <c r="D22" s="67">
        <f>D4+D5+D6+D7+D9+D10+D11+D12+D13+D14+D15+D16+D17+D18</f>
        <v/>
      </c>
      <c r="E22" s="47" t="n"/>
      <c r="F22" s="13">
        <f>D22*$M$1</f>
        <v/>
      </c>
      <c r="G22" s="4" t="n"/>
      <c r="H22" s="4" t="inlineStr">
        <is>
          <t xml:space="preserve">   </t>
        </is>
      </c>
      <c r="I22" s="4" t="n"/>
      <c r="J22" s="67">
        <f>J4+J5+J7+J8+J9+J10+J11+J13+J14+J15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inlineStr">
        <is>
          <t>Taux 2</t>
        </is>
      </c>
      <c r="D23" s="67">
        <f>D8+D19</f>
        <v/>
      </c>
      <c r="E23" s="47" t="n"/>
      <c r="F23" s="13">
        <f>D23*$M$3</f>
        <v/>
      </c>
      <c r="G23" s="4" t="n"/>
      <c r="H23" s="4" t="n"/>
      <c r="I23" s="4" t="n"/>
      <c r="J23" s="67">
        <f>J6+J12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69">
        <f>SUM(D22:D23)</f>
        <v/>
      </c>
      <c r="E24" s="68" t="n"/>
      <c r="F24" s="70">
        <f>SUM(F22:F23)</f>
        <v/>
      </c>
      <c r="G24" s="4" t="n"/>
      <c r="H24" s="4" t="n"/>
      <c r="I24" s="4" t="n"/>
      <c r="J24" s="69">
        <f>SUM(J22:J23)</f>
        <v/>
      </c>
      <c r="K24" s="68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66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105" t="inlineStr">
        <is>
          <t>Decembre25</t>
        </is>
      </c>
      <c r="B1" s="106" t="n"/>
      <c r="C1" s="106" t="n"/>
      <c r="D1" s="106" t="n"/>
      <c r="E1" s="106" t="n"/>
      <c r="F1" s="107" t="n"/>
      <c r="G1" s="105" t="inlineStr">
        <is>
          <t>Decembre25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RGK25-09603</t>
        </is>
      </c>
      <c r="C4" s="43" t="n">
        <v>46009</v>
      </c>
      <c r="D4" s="42" t="n">
        <v>10</v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RGK25-09565</t>
        </is>
      </c>
      <c r="C5" s="43" t="n">
        <v>46009</v>
      </c>
      <c r="D5" s="71">
        <f>(9*1500+1405+8*1500+500+7*2000+1000+9*1500+260)/1000*2</f>
        <v/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RGK25-09621</t>
        </is>
      </c>
      <c r="C6" s="48" t="n">
        <v>46009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RGK25-09461</t>
        </is>
      </c>
      <c r="C7" s="50" t="n">
        <v>46007</v>
      </c>
      <c r="D7" s="11" t="n">
        <v>54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RGK25-09460</t>
        </is>
      </c>
      <c r="C8" s="50" t="n">
        <v>46007</v>
      </c>
      <c r="D8" s="11" t="n">
        <v>10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R1138839</t>
        </is>
      </c>
      <c r="C9" s="50" t="n">
        <v>46007</v>
      </c>
      <c r="D9" s="11" t="n">
        <v>10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Dethlefsen &amp; Balk</t>
        </is>
      </c>
      <c r="B10" s="11" t="inlineStr">
        <is>
          <t>R1138839</t>
        </is>
      </c>
      <c r="C10" s="50" t="n">
        <v>46007</v>
      </c>
      <c r="D10" s="11" t="n">
        <v>5</v>
      </c>
      <c r="E10" s="49" t="n">
        <v>2</v>
      </c>
      <c r="F10" s="13">
        <f>D10*M3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Dethlefsen &amp; Balk</t>
        </is>
      </c>
      <c r="B11" s="11" t="inlineStr">
        <is>
          <t>R1137345</t>
        </is>
      </c>
      <c r="C11" s="50" t="n">
        <v>45999</v>
      </c>
      <c r="D11" s="11" t="n">
        <v>10</v>
      </c>
      <c r="E11" s="49" t="n">
        <v>2</v>
      </c>
      <c r="F11" s="13">
        <f>D11*M3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Dethlefsen &amp; Balk</t>
        </is>
      </c>
      <c r="B12" s="11" t="inlineStr">
        <is>
          <t>R1136845</t>
        </is>
      </c>
      <c r="C12" s="50" t="n">
        <v>45995</v>
      </c>
      <c r="D12" s="11" t="n">
        <v>20</v>
      </c>
      <c r="E12" s="49" t="n">
        <v>1</v>
      </c>
      <c r="F12" s="13">
        <f>D12*M1</f>
        <v/>
      </c>
      <c r="G12" s="41" t="n"/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RGK25-09179</t>
        </is>
      </c>
      <c r="C13" s="50" t="n">
        <v>46001</v>
      </c>
      <c r="D13" s="11" t="n">
        <v>30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Sinass</t>
        </is>
      </c>
      <c r="B14" s="11" t="n">
        <v>196598</v>
      </c>
      <c r="C14" s="51" t="n">
        <v>46001</v>
      </c>
      <c r="D14" s="11" t="n">
        <v>39.9</v>
      </c>
      <c r="E14" s="49" t="n">
        <v>1</v>
      </c>
      <c r="F14" s="13">
        <f>D14*M1</f>
        <v/>
      </c>
      <c r="G14" s="41" t="n"/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Total du mois</t>
        </is>
      </c>
      <c r="B15" s="62" t="n"/>
      <c r="C15" s="62" t="n"/>
      <c r="D15" s="63">
        <f>SUM(D4:D14)</f>
        <v/>
      </c>
      <c r="E15" s="64" t="n"/>
      <c r="F15" s="65">
        <f>SUM(F4:F14)</f>
        <v/>
      </c>
      <c r="G15" s="61" t="inlineStr">
        <is>
          <t>Total du mois</t>
        </is>
      </c>
      <c r="H15" s="62" t="n"/>
      <c r="I15" s="62" t="n"/>
      <c r="J15" s="63">
        <f>SUM(J4:J14)</f>
        <v/>
      </c>
      <c r="K15" s="6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66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inlineStr">
        <is>
          <t>Taux 1</t>
        </is>
      </c>
      <c r="D17" s="67">
        <f>D4+D5+D6+D7+D8+D9+D12+D13+D14</f>
        <v/>
      </c>
      <c r="E17" s="47" t="n"/>
      <c r="F17" s="13">
        <f>D17*$M$1</f>
        <v/>
      </c>
      <c r="G17" s="4" t="n"/>
      <c r="H17" s="4" t="inlineStr">
        <is>
          <t xml:space="preserve">   </t>
        </is>
      </c>
      <c r="I17" s="4" t="n"/>
      <c r="J17" s="67">
        <f>J4+J5+J7+J8+J9+J10+J13+#REF!+#REF!+#REF!</f>
        <v/>
      </c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inlineStr">
        <is>
          <t>Taux 2</t>
        </is>
      </c>
      <c r="D18" s="67">
        <f>D10+D11</f>
        <v/>
      </c>
      <c r="E18" s="47" t="n"/>
      <c r="F18" s="13">
        <f>D18*$M$3</f>
        <v/>
      </c>
      <c r="G18" s="4" t="n"/>
      <c r="H18" s="4" t="n"/>
      <c r="I18" s="4" t="n"/>
      <c r="J18" s="67">
        <f>J6+J14</f>
        <v/>
      </c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69">
        <f>SUM(D17:D18)</f>
        <v/>
      </c>
      <c r="E19" s="68" t="n"/>
      <c r="F19" s="70">
        <f>SUM(F17:F18)</f>
        <v/>
      </c>
      <c r="G19" s="4" t="n"/>
      <c r="H19" s="4" t="n"/>
      <c r="I19" s="4" t="n"/>
      <c r="J19" s="69">
        <f>SUM(J17:J18)</f>
        <v/>
      </c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n"/>
      <c r="D22" s="4" t="n"/>
      <c r="E22" s="4" t="n"/>
      <c r="F22" s="66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4" t="n"/>
      <c r="E23" s="4" t="n"/>
      <c r="F23" s="66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H221" s="39" t="n"/>
      <c r="I221" s="39" t="n"/>
      <c r="J221" s="39" t="n"/>
    </row>
    <row r="222" ht="15.75" customHeight="1" s="104">
      <c r="H222" s="39" t="n"/>
      <c r="I222" s="39" t="n"/>
      <c r="J222" s="39" t="n"/>
    </row>
    <row r="223" ht="15.75" customHeight="1" s="104">
      <c r="H223" s="39" t="n"/>
      <c r="I223" s="39" t="n"/>
      <c r="J223" s="39" t="n"/>
    </row>
    <row r="224" ht="15.75" customHeight="1" s="104">
      <c r="H224" s="39" t="n"/>
      <c r="I224" s="39" t="n"/>
      <c r="J224" s="39" t="n"/>
    </row>
    <row r="225" ht="15.75" customHeight="1" s="104">
      <c r="H225" s="39" t="n"/>
      <c r="I225" s="39" t="n"/>
      <c r="J225" s="39" t="n"/>
    </row>
    <row r="226" ht="15.75" customHeight="1" s="104">
      <c r="H226" s="39" t="n"/>
      <c r="I226" s="39" t="n"/>
      <c r="J226" s="39" t="n"/>
    </row>
    <row r="227" ht="15.75" customHeight="1" s="104">
      <c r="H227" s="39" t="n"/>
      <c r="I227" s="39" t="n"/>
      <c r="J227" s="39" t="n"/>
    </row>
    <row r="228" ht="15.75" customHeight="1" s="104">
      <c r="H228" s="39" t="n"/>
      <c r="I228" s="39" t="n"/>
      <c r="J228" s="39" t="n"/>
    </row>
    <row r="229" ht="15.75" customHeight="1" s="104">
      <c r="H229" s="39" t="n"/>
      <c r="I229" s="39" t="n"/>
      <c r="J229" s="39" t="n"/>
    </row>
    <row r="230" ht="15.75" customHeight="1" s="104">
      <c r="H230" s="39" t="n"/>
      <c r="I230" s="39" t="n"/>
      <c r="J230" s="39" t="n"/>
    </row>
    <row r="231" ht="15.75" customHeight="1" s="104">
      <c r="H231" s="39" t="n"/>
      <c r="I231" s="39" t="n"/>
      <c r="J231" s="39" t="n"/>
    </row>
    <row r="232" ht="15.75" customHeight="1" s="104">
      <c r="H232" s="39" t="n"/>
      <c r="I232" s="39" t="n"/>
      <c r="J232" s="39" t="n"/>
    </row>
    <row r="233" ht="15.75" customHeight="1" s="104">
      <c r="H233" s="39" t="n"/>
      <c r="I233" s="39" t="n"/>
      <c r="J233" s="39" t="n"/>
    </row>
    <row r="234" ht="15.75" customHeight="1" s="104">
      <c r="H234" s="39" t="n"/>
      <c r="I234" s="39" t="n"/>
      <c r="J234" s="39" t="n"/>
    </row>
    <row r="235" ht="15.75" customHeight="1" s="104">
      <c r="H235" s="39" t="n"/>
      <c r="I235" s="39" t="n"/>
      <c r="J235" s="39" t="n"/>
    </row>
    <row r="236" ht="15.75" customHeight="1" s="104">
      <c r="H236" s="39" t="n"/>
      <c r="I236" s="39" t="n"/>
      <c r="J236" s="39" t="n"/>
    </row>
    <row r="237" ht="15.75" customHeight="1" s="104">
      <c r="H237" s="39" t="n"/>
      <c r="I237" s="39" t="n"/>
      <c r="J237" s="39" t="n"/>
    </row>
    <row r="238" ht="15.75" customHeight="1" s="104">
      <c r="H238" s="39" t="n"/>
      <c r="I238" s="39" t="n"/>
      <c r="J238" s="39" t="n"/>
    </row>
    <row r="239" ht="15.75" customHeight="1" s="104">
      <c r="H239" s="39" t="n"/>
      <c r="I239" s="39" t="n"/>
      <c r="J239" s="39" t="n"/>
    </row>
    <row r="240" ht="15.75" customHeight="1" s="104">
      <c r="H240" s="39" t="n"/>
      <c r="I240" s="39" t="n"/>
      <c r="J240" s="39" t="n"/>
    </row>
    <row r="241" ht="15.75" customHeight="1" s="104">
      <c r="H241" s="39" t="n"/>
      <c r="I241" s="39" t="n"/>
      <c r="J241" s="39" t="n"/>
    </row>
    <row r="242" ht="15.75" customHeight="1" s="104">
      <c r="H242" s="39" t="n"/>
      <c r="I242" s="39" t="n"/>
      <c r="J242" s="39" t="n"/>
    </row>
    <row r="243" ht="15.75" customHeight="1" s="104">
      <c r="H243" s="39" t="n"/>
      <c r="I243" s="39" t="n"/>
      <c r="J243" s="39" t="n"/>
    </row>
    <row r="244" ht="15.75" customHeight="1" s="104">
      <c r="H244" s="39" t="n"/>
      <c r="I244" s="39" t="n"/>
      <c r="J244" s="39" t="n"/>
    </row>
    <row r="245" ht="15.75" customHeight="1" s="104">
      <c r="H245" s="39" t="n"/>
      <c r="I245" s="39" t="n"/>
      <c r="J245" s="39" t="n"/>
    </row>
    <row r="246" ht="15.75" customHeight="1" s="104">
      <c r="H246" s="39" t="n"/>
      <c r="I246" s="39" t="n"/>
      <c r="J246" s="39" t="n"/>
    </row>
    <row r="247" ht="15.75" customHeight="1" s="104">
      <c r="H247" s="39" t="n"/>
      <c r="I247" s="39" t="n"/>
      <c r="J247" s="39" t="n"/>
    </row>
    <row r="248" ht="15.75" customHeight="1" s="104">
      <c r="H248" s="39" t="n"/>
      <c r="I248" s="39" t="n"/>
      <c r="J248" s="39" t="n"/>
    </row>
    <row r="249" ht="15.75" customHeight="1" s="104">
      <c r="H249" s="39" t="n"/>
      <c r="I249" s="39" t="n"/>
      <c r="J249" s="39" t="n"/>
    </row>
    <row r="250" ht="15.75" customHeight="1" s="104">
      <c r="H250" s="39" t="n"/>
      <c r="I250" s="39" t="n"/>
      <c r="J250" s="39" t="n"/>
    </row>
    <row r="251" ht="15.75" customHeight="1" s="104">
      <c r="H251" s="39" t="n"/>
      <c r="I251" s="39" t="n"/>
      <c r="J251" s="39" t="n"/>
    </row>
    <row r="252" ht="15.75" customHeight="1" s="104">
      <c r="H252" s="39" t="n"/>
      <c r="I252" s="39" t="n"/>
      <c r="J252" s="39" t="n"/>
    </row>
    <row r="253" ht="15.75" customHeight="1" s="104">
      <c r="H253" s="39" t="n"/>
      <c r="I253" s="39" t="n"/>
      <c r="J253" s="39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74" t="inlineStr">
        <is>
          <t>Q126</t>
        </is>
      </c>
      <c r="B1" s="75" t="n"/>
      <c r="C1" s="75" t="n"/>
      <c r="D1" s="75" t="n"/>
      <c r="E1" s="75" t="n"/>
      <c r="F1" s="76" t="n"/>
      <c r="G1" s="77" t="inlineStr">
        <is>
          <t>Q126</t>
        </is>
      </c>
      <c r="H1" s="39" t="n"/>
      <c r="I1" s="39" t="n"/>
      <c r="J1" s="39" t="n"/>
      <c r="L1" s="78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9" t="inlineStr">
        <is>
          <t>Entrées</t>
        </is>
      </c>
      <c r="B2" s="80" t="n"/>
      <c r="C2" s="80" t="n"/>
      <c r="D2" s="80" t="n"/>
      <c r="E2" s="80" t="n"/>
      <c r="F2" s="81" t="n"/>
      <c r="G2" s="82" t="inlineStr">
        <is>
          <t>Sorties</t>
        </is>
      </c>
      <c r="H2" s="39" t="n"/>
      <c r="I2" s="39" t="n"/>
      <c r="J2" s="39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83" t="inlineStr">
        <is>
          <t>Fournisseurs</t>
        </is>
      </c>
      <c r="B3" s="84" t="inlineStr">
        <is>
          <t>Facture n°</t>
        </is>
      </c>
      <c r="C3" s="84" t="inlineStr">
        <is>
          <t>date</t>
        </is>
      </c>
      <c r="D3" s="84" t="inlineStr">
        <is>
          <t>Kg de thé</t>
        </is>
      </c>
      <c r="E3" s="85" t="inlineStr">
        <is>
          <t>Taux</t>
        </is>
      </c>
      <c r="F3" s="86" t="inlineStr">
        <is>
          <t>Accises</t>
        </is>
      </c>
      <c r="G3" s="83" t="inlineStr">
        <is>
          <t>Fournisseurs</t>
        </is>
      </c>
      <c r="H3" s="84" t="inlineStr">
        <is>
          <t>AC4 n°</t>
        </is>
      </c>
      <c r="I3" s="84" t="inlineStr">
        <is>
          <t>date</t>
        </is>
      </c>
      <c r="J3" s="84" t="inlineStr">
        <is>
          <t>Kg de thé</t>
        </is>
      </c>
      <c r="K3" s="87" t="inlineStr">
        <is>
          <t>Accises</t>
        </is>
      </c>
      <c r="L3" s="78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RGK26-00131</t>
        </is>
      </c>
      <c r="C4" s="88" t="n">
        <v>46028</v>
      </c>
      <c r="D4" s="89" t="n">
        <v>85</v>
      </c>
      <c r="E4" s="44" t="n">
        <v>1</v>
      </c>
      <c r="F4" s="90">
        <f>D4*M1</f>
        <v/>
      </c>
      <c r="G4" s="41" t="inlineStr">
        <is>
          <t>Kirshner Fischer</t>
        </is>
      </c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D&amp;B</t>
        </is>
      </c>
      <c r="B5" s="11" t="inlineStr">
        <is>
          <t>R1141142567771</t>
        </is>
      </c>
      <c r="C5" s="88" t="n">
        <v>46031</v>
      </c>
      <c r="D5" s="91" t="n">
        <v>207</v>
      </c>
      <c r="E5" s="44" t="n">
        <v>1</v>
      </c>
      <c r="F5" s="90">
        <f>D5*M1</f>
        <v/>
      </c>
      <c r="G5" s="41" t="inlineStr">
        <is>
          <t>D&amp;B</t>
        </is>
      </c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92" t="inlineStr">
        <is>
          <t>RGK26-00570</t>
        </is>
      </c>
      <c r="C6" s="93" t="n">
        <v>46041</v>
      </c>
      <c r="D6" s="94" t="n">
        <v>20</v>
      </c>
      <c r="E6" s="49" t="n">
        <v>1</v>
      </c>
      <c r="F6" s="90">
        <f>D6*M1</f>
        <v/>
      </c>
      <c r="G6" s="41" t="inlineStr">
        <is>
          <t>Kirshner Fischer</t>
        </is>
      </c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RGK26-00572</t>
        </is>
      </c>
      <c r="C7" s="93" t="n">
        <v>46041</v>
      </c>
      <c r="D7" s="94" t="n">
        <v>20</v>
      </c>
      <c r="E7" s="49" t="n">
        <v>1</v>
      </c>
      <c r="F7" s="90">
        <f>D7*M1</f>
        <v/>
      </c>
      <c r="G7" s="41" t="inlineStr">
        <is>
          <t>Kirshner Fischer</t>
        </is>
      </c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D&amp;B</t>
        </is>
      </c>
      <c r="B8" s="11" t="inlineStr">
        <is>
          <t>R1142567567771</t>
        </is>
      </c>
      <c r="C8" s="93" t="n">
        <v>46042</v>
      </c>
      <c r="D8" s="94" t="n">
        <v>15</v>
      </c>
      <c r="E8" s="49" t="n">
        <v>1</v>
      </c>
      <c r="F8" s="90">
        <f>D8*M1</f>
        <v/>
      </c>
      <c r="G8" s="41" t="inlineStr">
        <is>
          <t>D&amp;B</t>
        </is>
      </c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D&amp;B</t>
        </is>
      </c>
      <c r="B9" s="11" t="inlineStr">
        <is>
          <t>R1142567567771</t>
        </is>
      </c>
      <c r="C9" s="93" t="n">
        <v>46042</v>
      </c>
      <c r="D9" s="94" t="n">
        <v>40</v>
      </c>
      <c r="E9" s="49" t="n">
        <v>2</v>
      </c>
      <c r="F9" s="90">
        <f>D9*M3</f>
        <v/>
      </c>
      <c r="G9" s="41" t="inlineStr">
        <is>
          <t>D&amp;B</t>
        </is>
      </c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D&amp;B</t>
        </is>
      </c>
      <c r="B10" s="11" t="inlineStr">
        <is>
          <t>R1142580567771</t>
        </is>
      </c>
      <c r="C10" s="93" t="n">
        <v>46042</v>
      </c>
      <c r="D10" s="94" t="n">
        <v>45</v>
      </c>
      <c r="E10" s="49" t="n">
        <v>1</v>
      </c>
      <c r="F10" s="90">
        <f>D10*M1</f>
        <v/>
      </c>
      <c r="G10" s="41" t="inlineStr">
        <is>
          <t>D&amp;B</t>
        </is>
      </c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RGK26-00619</t>
        </is>
      </c>
      <c r="C11" s="93" t="n">
        <v>46042</v>
      </c>
      <c r="D11" s="94" t="n">
        <v>30</v>
      </c>
      <c r="E11" s="49" t="n">
        <v>1</v>
      </c>
      <c r="F11" s="90">
        <f>D11*M1</f>
        <v/>
      </c>
      <c r="G11" s="41" t="inlineStr">
        <is>
          <t>Kirshner Fischer</t>
        </is>
      </c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RGK26-00621</t>
        </is>
      </c>
      <c r="C12" s="93" t="n">
        <v>46042</v>
      </c>
      <c r="D12" s="94" t="n">
        <v>30</v>
      </c>
      <c r="E12" s="49" t="n">
        <v>1</v>
      </c>
      <c r="F12" s="90">
        <f>D12*M1</f>
        <v/>
      </c>
      <c r="G12" s="41" t="inlineStr">
        <is>
          <t>Kirshner Fischer</t>
        </is>
      </c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RGK26-00667</t>
        </is>
      </c>
      <c r="C13" s="93" t="n">
        <v>46043</v>
      </c>
      <c r="D13" s="94" t="n">
        <v>20</v>
      </c>
      <c r="E13" s="49" t="n">
        <v>1</v>
      </c>
      <c r="F13" s="90">
        <f>D13*M1</f>
        <v/>
      </c>
      <c r="G13" s="41" t="inlineStr">
        <is>
          <t>Kirshner Fischer</t>
        </is>
      </c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Kirshner Fischer</t>
        </is>
      </c>
      <c r="B14" s="11" t="inlineStr">
        <is>
          <t>RGK26-00692</t>
        </is>
      </c>
      <c r="C14" s="93" t="n">
        <v>46044</v>
      </c>
      <c r="D14" s="94" t="n">
        <v>30</v>
      </c>
      <c r="E14" s="49" t="n">
        <v>1</v>
      </c>
      <c r="F14" s="90">
        <f>D14*M1</f>
        <v/>
      </c>
      <c r="G14" s="41" t="inlineStr">
        <is>
          <t>Kirshner Fischer</t>
        </is>
      </c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Kirshner Fischer</t>
        </is>
      </c>
      <c r="B15" s="62" t="inlineStr">
        <is>
          <t>RGK26-00690</t>
        </is>
      </c>
      <c r="C15" s="95" t="n">
        <v>46045</v>
      </c>
      <c r="D15" s="96" t="n">
        <v>90</v>
      </c>
      <c r="E15" s="64" t="n">
        <v>1</v>
      </c>
      <c r="F15" s="97">
        <f>D15*M1</f>
        <v/>
      </c>
      <c r="G15" s="61" t="inlineStr">
        <is>
          <t>Kirshner Fischer</t>
        </is>
      </c>
      <c r="H15" s="62" t="n"/>
      <c r="I15" s="62" t="n"/>
      <c r="J15" s="63" t="n"/>
      <c r="K15" s="63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Kirshner Fischer</t>
        </is>
      </c>
      <c r="B16" s="4" t="inlineStr">
        <is>
          <t>RGK26-00691</t>
        </is>
      </c>
      <c r="C16" s="98" t="n">
        <v>46045</v>
      </c>
      <c r="D16" s="99" t="n">
        <v>179.8</v>
      </c>
      <c r="E16" s="68" t="n">
        <v>1</v>
      </c>
      <c r="F16" s="100">
        <f>D16*M1</f>
        <v/>
      </c>
      <c r="G16" s="4" t="inlineStr">
        <is>
          <t>Kirshner Fischer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Kirshner Fischer</t>
        </is>
      </c>
      <c r="B17" s="4" t="inlineStr">
        <is>
          <t>RGK26-00893</t>
        </is>
      </c>
      <c r="C17" s="98" t="n">
        <v>46050</v>
      </c>
      <c r="D17" s="101" t="n">
        <v>32</v>
      </c>
      <c r="E17" s="47" t="n">
        <v>1</v>
      </c>
      <c r="F17" s="90">
        <f>D17*M1</f>
        <v/>
      </c>
      <c r="G17" s="4" t="inlineStr">
        <is>
          <t>Kirshner Fischer</t>
        </is>
      </c>
      <c r="H17" s="4" t="n"/>
      <c r="I17" s="4" t="n"/>
      <c r="J17" s="67" t="n"/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Kirshner Fischer</t>
        </is>
      </c>
      <c r="B18" s="4" t="inlineStr">
        <is>
          <t>RGK26-01218</t>
        </is>
      </c>
      <c r="C18" s="98" t="n">
        <v>46058</v>
      </c>
      <c r="D18" s="101" t="n">
        <v>810</v>
      </c>
      <c r="E18" s="47" t="n">
        <v>1</v>
      </c>
      <c r="F18" s="90">
        <f>D18*M1</f>
        <v/>
      </c>
      <c r="G18" s="4" t="inlineStr">
        <is>
          <t>Kirshner Fischer</t>
        </is>
      </c>
      <c r="H18" s="4" t="n"/>
      <c r="I18" s="4" t="n"/>
      <c r="J18" s="67" t="n"/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D&amp;B</t>
        </is>
      </c>
      <c r="B19" s="4" t="inlineStr">
        <is>
          <t>R1145583567771</t>
        </is>
      </c>
      <c r="C19" s="98" t="n">
        <v>46063</v>
      </c>
      <c r="D19" s="102" t="n">
        <v>5</v>
      </c>
      <c r="E19" s="68" t="n">
        <v>1</v>
      </c>
      <c r="F19" s="103">
        <f>D19*M1</f>
        <v/>
      </c>
      <c r="G19" s="4" t="inlineStr">
        <is>
          <t>D&amp;B</t>
        </is>
      </c>
      <c r="H19" s="4" t="n"/>
      <c r="I19" s="4" t="n"/>
      <c r="J19" s="69" t="n"/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Kirshner Fischer</t>
        </is>
      </c>
      <c r="B20" s="4" t="inlineStr">
        <is>
          <t>RGK26-01488</t>
        </is>
      </c>
      <c r="C20" s="98" t="n">
        <v>46065</v>
      </c>
      <c r="D20" s="99" t="n">
        <v>10</v>
      </c>
      <c r="E20" s="68" t="n">
        <v>1</v>
      </c>
      <c r="F20" s="100">
        <f>D20*M1</f>
        <v/>
      </c>
      <c r="G20" s="4" t="inlineStr">
        <is>
          <t>Kirshner Fischer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inlineStr">
        <is>
          <t>D&amp;B</t>
        </is>
      </c>
      <c r="B21" s="4" t="inlineStr">
        <is>
          <t>R1146014567771</t>
        </is>
      </c>
      <c r="C21" s="98" t="n">
        <v>46066</v>
      </c>
      <c r="D21" s="99" t="n">
        <v>227</v>
      </c>
      <c r="E21" s="68" t="n">
        <v>1</v>
      </c>
      <c r="F21" s="100">
        <f>D21*M1</f>
        <v/>
      </c>
      <c r="G21" s="4" t="inlineStr">
        <is>
          <t>D&amp;B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inlineStr">
        <is>
          <t>D&amp;B</t>
        </is>
      </c>
      <c r="B22" s="4" t="inlineStr">
        <is>
          <t>R1146014567771</t>
        </is>
      </c>
      <c r="C22" s="98" t="n">
        <v>46066</v>
      </c>
      <c r="D22" s="99" t="n">
        <v>20</v>
      </c>
      <c r="E22" s="68" t="n">
        <v>2</v>
      </c>
      <c r="F22" s="100">
        <f>D22*M3</f>
        <v/>
      </c>
      <c r="G22" s="4" t="inlineStr">
        <is>
          <t>D&amp;B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inlineStr">
        <is>
          <t>D&amp;B</t>
        </is>
      </c>
      <c r="B23" s="4" t="inlineStr">
        <is>
          <t>R1146241567771</t>
        </is>
      </c>
      <c r="C23" s="98" t="n">
        <v>46069</v>
      </c>
      <c r="D23" s="99" t="n">
        <v>36</v>
      </c>
      <c r="E23" s="68" t="n">
        <v>1</v>
      </c>
      <c r="F23" s="100">
        <f>D23*M1</f>
        <v/>
      </c>
      <c r="G23" s="4" t="inlineStr">
        <is>
          <t>D&amp;B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inlineStr">
        <is>
          <t>D&amp;B</t>
        </is>
      </c>
      <c r="B24" s="4" t="inlineStr">
        <is>
          <t>R1146241567771</t>
        </is>
      </c>
      <c r="C24" s="98" t="n">
        <v>46069</v>
      </c>
      <c r="D24" s="99" t="n">
        <v>26</v>
      </c>
      <c r="E24" s="68" t="n">
        <v>2</v>
      </c>
      <c r="F24" s="100">
        <f>D24*M3</f>
        <v/>
      </c>
      <c r="G24" s="4" t="inlineStr">
        <is>
          <t>D&amp;B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inlineStr">
        <is>
          <t>D&amp;B</t>
        </is>
      </c>
      <c r="B25" s="4" t="inlineStr">
        <is>
          <t>R1146702567771</t>
        </is>
      </c>
      <c r="C25" s="98" t="n">
        <v>46071</v>
      </c>
      <c r="D25" s="99" t="n">
        <v>111</v>
      </c>
      <c r="E25" s="68" t="n">
        <v>1</v>
      </c>
      <c r="F25" s="100">
        <f>D25*M1</f>
        <v/>
      </c>
      <c r="G25" s="4" t="inlineStr">
        <is>
          <t>D&amp;B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inlineStr">
        <is>
          <t>D&amp;B</t>
        </is>
      </c>
      <c r="B26" s="4" t="inlineStr">
        <is>
          <t>R1146702567771</t>
        </is>
      </c>
      <c r="C26" s="98" t="n">
        <v>46071</v>
      </c>
      <c r="D26" s="99" t="n">
        <v>10</v>
      </c>
      <c r="E26" s="68" t="n">
        <v>2</v>
      </c>
      <c r="F26" s="100">
        <f>D26*M3</f>
        <v/>
      </c>
      <c r="G26" s="4" t="inlineStr">
        <is>
          <t>D&amp;B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inlineStr">
        <is>
          <t>Kirshner Fischer</t>
        </is>
      </c>
      <c r="B27" s="4" t="inlineStr">
        <is>
          <t>RGK26-01628</t>
        </is>
      </c>
      <c r="C27" s="98" t="n">
        <v>46071</v>
      </c>
      <c r="D27" s="99" t="n">
        <v>10</v>
      </c>
      <c r="E27" s="68" t="n">
        <v>1</v>
      </c>
      <c r="F27" s="100">
        <f>D27*M1</f>
        <v/>
      </c>
      <c r="G27" s="4" t="inlineStr">
        <is>
          <t>Kirshner Fischer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inlineStr">
        <is>
          <t>D&amp;B</t>
        </is>
      </c>
      <c r="B28" s="4" t="inlineStr">
        <is>
          <t>R1146897567771</t>
        </is>
      </c>
      <c r="C28" s="98" t="n">
        <v>46072</v>
      </c>
      <c r="D28" s="99" t="n">
        <v>23</v>
      </c>
      <c r="E28" s="68" t="n">
        <v>1</v>
      </c>
      <c r="F28" s="100">
        <f>D28*M1</f>
        <v/>
      </c>
      <c r="G28" s="4" t="inlineStr">
        <is>
          <t>D&amp;B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inlineStr">
        <is>
          <t>D&amp;B</t>
        </is>
      </c>
      <c r="B29" s="4" t="inlineStr">
        <is>
          <t>R1147151567771</t>
        </is>
      </c>
      <c r="C29" s="98" t="n">
        <v>46076</v>
      </c>
      <c r="D29" s="99" t="n">
        <v>10</v>
      </c>
      <c r="E29" s="68" t="n">
        <v>1</v>
      </c>
      <c r="F29" s="100">
        <f>D29*M1</f>
        <v/>
      </c>
      <c r="G29" s="4" t="inlineStr">
        <is>
          <t>D&amp;B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inlineStr">
        <is>
          <t>D&amp;B</t>
        </is>
      </c>
      <c r="B30" s="4" t="inlineStr">
        <is>
          <t>R1147160567771</t>
        </is>
      </c>
      <c r="C30" s="98" t="n">
        <v>46076</v>
      </c>
      <c r="D30" s="99" t="n">
        <v>46</v>
      </c>
      <c r="E30" s="68" t="n">
        <v>1</v>
      </c>
      <c r="F30" s="100">
        <f>D30*M1</f>
        <v/>
      </c>
      <c r="G30" s="4" t="inlineStr">
        <is>
          <t>D&amp;B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inlineStr">
        <is>
          <t>Kirshner Fischer</t>
        </is>
      </c>
      <c r="B31" s="4" t="inlineStr">
        <is>
          <t>RGK26-01742</t>
        </is>
      </c>
      <c r="C31" s="98" t="n">
        <v>46076</v>
      </c>
      <c r="D31" s="99" t="n">
        <v>320</v>
      </c>
      <c r="E31" s="68" t="n">
        <v>1</v>
      </c>
      <c r="F31" s="100">
        <f>D31*M1</f>
        <v/>
      </c>
      <c r="G31" s="4" t="inlineStr">
        <is>
          <t>Kirshner Fischer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inlineStr">
        <is>
          <t>Kirshner Fischer</t>
        </is>
      </c>
      <c r="B32" s="4" t="inlineStr">
        <is>
          <t>RGK26-01844</t>
        </is>
      </c>
      <c r="C32" s="98" t="n">
        <v>46077</v>
      </c>
      <c r="D32" s="99" t="n">
        <v>89</v>
      </c>
      <c r="E32" s="68" t="n">
        <v>1</v>
      </c>
      <c r="F32" s="100">
        <f>D32*M1</f>
        <v/>
      </c>
      <c r="G32" s="4" t="inlineStr">
        <is>
          <t>Kirshner Fischer</t>
        </is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inlineStr">
        <is>
          <t>Kirshner Fischer</t>
        </is>
      </c>
      <c r="B33" s="4" t="inlineStr">
        <is>
          <t>RGK26-01900</t>
        </is>
      </c>
      <c r="C33" s="98" t="n">
        <v>46079</v>
      </c>
      <c r="D33" s="99" t="n">
        <v>50</v>
      </c>
      <c r="E33" s="68" t="n">
        <v>1</v>
      </c>
      <c r="F33" s="100">
        <f>D33*M1</f>
        <v/>
      </c>
      <c r="G33" s="4" t="inlineStr">
        <is>
          <t>Kirshner Fischer</t>
        </is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inlineStr">
        <is>
          <t>D&amp;B</t>
        </is>
      </c>
      <c r="B34" s="4" t="inlineStr">
        <is>
          <t>R1149127567771</t>
        </is>
      </c>
      <c r="C34" s="98" t="n">
        <v>46087</v>
      </c>
      <c r="D34" s="99" t="n">
        <v>285</v>
      </c>
      <c r="E34" s="68" t="n">
        <v>1</v>
      </c>
      <c r="F34" s="100">
        <f>D34*M1</f>
        <v/>
      </c>
      <c r="G34" s="4" t="inlineStr">
        <is>
          <t>D&amp;B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inlineStr">
        <is>
          <t>D&amp;B</t>
        </is>
      </c>
      <c r="B35" s="4" t="inlineStr">
        <is>
          <t>R1149127567771</t>
        </is>
      </c>
      <c r="C35" s="98" t="n">
        <v>46087</v>
      </c>
      <c r="D35" s="99" t="n">
        <v>30</v>
      </c>
      <c r="E35" s="68" t="n">
        <v>2</v>
      </c>
      <c r="F35" s="100">
        <f>D35*M3</f>
        <v/>
      </c>
      <c r="G35" s="4" t="inlineStr">
        <is>
          <t>D&amp;B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inlineStr">
        <is>
          <t>Kirshner Fischer</t>
        </is>
      </c>
      <c r="B36" s="4" t="inlineStr">
        <is>
          <t>RGK26-02290</t>
        </is>
      </c>
      <c r="C36" s="98" t="n">
        <v>46092</v>
      </c>
      <c r="D36" s="99" t="n">
        <v>340</v>
      </c>
      <c r="E36" s="68" t="n">
        <v>1</v>
      </c>
      <c r="F36" s="100">
        <f>D36*M1</f>
        <v/>
      </c>
      <c r="G36" s="4" t="inlineStr">
        <is>
          <t>Kirshner Fischer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inlineStr">
        <is>
          <t>Kirshner Fischer</t>
        </is>
      </c>
      <c r="B37" s="4" t="inlineStr">
        <is>
          <t>RGK26-02291</t>
        </is>
      </c>
      <c r="C37" s="98" t="n">
        <v>46092</v>
      </c>
      <c r="D37" s="99" t="n">
        <v>250</v>
      </c>
      <c r="E37" s="68" t="n">
        <v>1</v>
      </c>
      <c r="F37" s="100">
        <f>D37*M1</f>
        <v/>
      </c>
      <c r="G37" s="4" t="inlineStr">
        <is>
          <t>Kirshner Fischer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inlineStr">
        <is>
          <t>Kirshner Fischer</t>
        </is>
      </c>
      <c r="B38" s="4" t="inlineStr">
        <is>
          <t>RGK26-02292</t>
        </is>
      </c>
      <c r="C38" s="98" t="n">
        <v>46092</v>
      </c>
      <c r="D38" s="99" t="n">
        <v>100</v>
      </c>
      <c r="E38" s="68" t="n">
        <v>1</v>
      </c>
      <c r="F38" s="100">
        <f>D38*M1</f>
        <v/>
      </c>
      <c r="G38" s="4" t="inlineStr">
        <is>
          <t>Kirshner Fischer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inlineStr">
        <is>
          <t>D&amp;B</t>
        </is>
      </c>
      <c r="B39" s="4" t="inlineStr">
        <is>
          <t>R1150129567771</t>
        </is>
      </c>
      <c r="C39" s="98" t="n">
        <v>46098</v>
      </c>
      <c r="D39" s="99" t="n">
        <v>2</v>
      </c>
      <c r="E39" s="68" t="n">
        <v>1</v>
      </c>
      <c r="F39" s="100">
        <f>D39*M1</f>
        <v/>
      </c>
      <c r="G39" s="4" t="inlineStr">
        <is>
          <t>D&amp;B</t>
        </is>
      </c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inlineStr">
        <is>
          <t>D&amp;B</t>
        </is>
      </c>
      <c r="B40" s="4" t="inlineStr">
        <is>
          <t>R1150129567771</t>
        </is>
      </c>
      <c r="C40" s="98" t="n">
        <v>46098</v>
      </c>
      <c r="D40" s="99" t="n">
        <v>5</v>
      </c>
      <c r="E40" s="68" t="n">
        <v>2</v>
      </c>
      <c r="F40" s="100">
        <f>D40*M3</f>
        <v/>
      </c>
      <c r="G40" s="4" t="inlineStr">
        <is>
          <t>D&amp;B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inlineStr">
        <is>
          <t>Kirshner Fischer</t>
        </is>
      </c>
      <c r="B41" s="4" t="inlineStr">
        <is>
          <t>RGK26-02510</t>
        </is>
      </c>
      <c r="C41" s="98" t="n">
        <v>46098</v>
      </c>
      <c r="D41" s="99" t="n">
        <v>20</v>
      </c>
      <c r="E41" s="68" t="n">
        <v>1</v>
      </c>
      <c r="F41" s="100">
        <f>D41*M1</f>
        <v/>
      </c>
      <c r="G41" s="4" t="inlineStr">
        <is>
          <t>Kirshner Fischer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inlineStr">
        <is>
          <t>Kirshner Fischer</t>
        </is>
      </c>
      <c r="B42" s="4" t="inlineStr">
        <is>
          <t>RGK26-02511</t>
        </is>
      </c>
      <c r="C42" s="98" t="n">
        <v>46098</v>
      </c>
      <c r="D42" s="99" t="n">
        <v>100</v>
      </c>
      <c r="E42" s="68" t="n">
        <v>1</v>
      </c>
      <c r="F42" s="100">
        <f>D42*M1</f>
        <v/>
      </c>
      <c r="G42" s="4" t="inlineStr">
        <is>
          <t>Kirshner Fischer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inlineStr">
        <is>
          <t>Kirshner Fischer</t>
        </is>
      </c>
      <c r="B43" s="4" t="inlineStr">
        <is>
          <t>RGK26-02765</t>
        </is>
      </c>
      <c r="C43" s="98" t="n">
        <v>46107</v>
      </c>
      <c r="D43" s="99" t="n">
        <v>100</v>
      </c>
      <c r="E43" s="68" t="n">
        <v>1</v>
      </c>
      <c r="F43" s="100">
        <f>D43*M1</f>
        <v/>
      </c>
      <c r="G43" s="4" t="inlineStr">
        <is>
          <t>Kirshner Fischer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inlineStr">
        <is>
          <t>Kirshner Fischer</t>
        </is>
      </c>
      <c r="B44" s="4" t="inlineStr">
        <is>
          <t>RGK26-02818</t>
        </is>
      </c>
      <c r="C44" s="98" t="n">
        <v>46111</v>
      </c>
      <c r="D44" s="99" t="n">
        <v>424.02</v>
      </c>
      <c r="E44" s="68" t="n">
        <v>1</v>
      </c>
      <c r="F44" s="100">
        <f>D44*M1</f>
        <v/>
      </c>
      <c r="G44" s="4" t="inlineStr">
        <is>
          <t>Kirshner Fischer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inlineStr">
        <is>
          <t>Kirshner Fischer</t>
        </is>
      </c>
      <c r="B45" s="4" t="inlineStr">
        <is>
          <t>RGK26-02852</t>
        </is>
      </c>
      <c r="C45" s="98" t="n">
        <v>46111</v>
      </c>
      <c r="D45" s="99" t="n">
        <v>10</v>
      </c>
      <c r="E45" s="68" t="n">
        <v>1</v>
      </c>
      <c r="F45" s="100">
        <f>D45*M1</f>
        <v/>
      </c>
      <c r="G45" s="4" t="inlineStr">
        <is>
          <t>Kirshner Fischer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inlineStr">
        <is>
          <t>Kirshner Fischer</t>
        </is>
      </c>
      <c r="B46" s="4" t="inlineStr">
        <is>
          <t>RGK26-02853</t>
        </is>
      </c>
      <c r="C46" s="98" t="n">
        <v>46111</v>
      </c>
      <c r="D46" s="99" t="n">
        <v>10</v>
      </c>
      <c r="E46" s="68" t="n">
        <v>1</v>
      </c>
      <c r="F46" s="100">
        <f>D46*M1</f>
        <v/>
      </c>
      <c r="G46" s="4" t="inlineStr">
        <is>
          <t>Kirshner Fischer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inlineStr">
        <is>
          <t>Kirshner Fischer</t>
        </is>
      </c>
      <c r="B47" s="4" t="inlineStr">
        <is>
          <t>RGK26-02871</t>
        </is>
      </c>
      <c r="C47" s="98" t="n">
        <v>46112</v>
      </c>
      <c r="D47" s="99" t="n">
        <v>177</v>
      </c>
      <c r="E47" s="68" t="n">
        <v>1</v>
      </c>
      <c r="F47" s="100">
        <f>D47*M1</f>
        <v/>
      </c>
      <c r="G47" s="4" t="inlineStr">
        <is>
          <t>Kirshner Fischer</t>
        </is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inlineStr">
        <is>
          <t>Total du trimestre</t>
        </is>
      </c>
      <c r="B49" s="4" t="n"/>
      <c r="C49" s="4" t="n"/>
      <c r="D49" s="99">
        <f>SUM(D4:D47)</f>
        <v/>
      </c>
      <c r="E49" s="4" t="n"/>
      <c r="F49" s="100">
        <f>SUM(F4:F47)</f>
        <v/>
      </c>
      <c r="G49" s="4" t="inlineStr">
        <is>
          <t>Total du trimestre</t>
        </is>
      </c>
      <c r="H49" s="4" t="n"/>
      <c r="I49" s="4" t="n"/>
      <c r="J49" s="4">
        <f>SUM(J4:J47)</f>
        <v/>
      </c>
      <c r="K49" s="68">
        <f>SUM(K4:K47)</f>
        <v/>
      </c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inlineStr">
        <is>
          <t>Taux 1</t>
        </is>
      </c>
      <c r="D51" s="99">
        <f>SUMIF(E4:E47,1,D4:D47)</f>
        <v/>
      </c>
      <c r="E51" s="4" t="n"/>
      <c r="F51" s="100">
        <f>D51*$M$1</f>
        <v/>
      </c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inlineStr">
        <is>
          <t>Taux 2</t>
        </is>
      </c>
      <c r="D52" s="99">
        <f>SUMIF(E4:E47,2,D4:D47)</f>
        <v/>
      </c>
      <c r="E52" s="4" t="n"/>
      <c r="F52" s="100">
        <f>D52*$M$3</f>
        <v/>
      </c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99">
        <f>SUM(D51:D52)</f>
        <v/>
      </c>
      <c r="E53" s="4" t="n"/>
      <c r="F53" s="100">
        <f>SUM(F51:F52)</f>
        <v/>
      </c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0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0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0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0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10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10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10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10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10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10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10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10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10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10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10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10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10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10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10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10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10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10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10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10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10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10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10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10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26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104" min="1" max="1"/>
    <col width="22" customWidth="1" style="104" min="2" max="2"/>
    <col width="14" customWidth="1" style="104" min="3" max="3"/>
    <col width="14" customWidth="1" style="104" min="4" max="4"/>
    <col width="8" customWidth="1" style="104" min="5" max="5"/>
    <col width="14" customWidth="1" style="104" min="6" max="6"/>
    <col width="22" customWidth="1" style="104" min="7" max="7"/>
    <col width="12" customWidth="1" style="104" min="8" max="8"/>
    <col width="14" customWidth="1" style="104" min="9" max="9"/>
    <col width="14" customWidth="1" style="104" min="10" max="10"/>
    <col width="14" customWidth="1" style="104" min="11" max="11"/>
    <col width="18" customWidth="1" style="104" min="12" max="12"/>
    <col width="12" customWidth="1" style="104" min="13" max="13"/>
  </cols>
  <sheetData>
    <row r="1">
      <c r="A1" s="0" t="inlineStr">
        <is>
          <t>Avril26</t>
        </is>
      </c>
      <c r="G1" s="0" t="inlineStr">
        <is>
          <t>Avril26</t>
        </is>
      </c>
      <c r="L1" s="0" t="inlineStr">
        <is>
          <t>taux accises 1</t>
        </is>
      </c>
      <c r="M1" s="0" t="n">
        <v>0.681339</v>
      </c>
    </row>
    <row r="2">
      <c r="A2" s="0" t="inlineStr">
        <is>
          <t>Entrées</t>
        </is>
      </c>
      <c r="G2" s="0" t="inlineStr">
        <is>
          <t>Sorties</t>
        </is>
      </c>
    </row>
    <row r="3">
      <c r="A3" s="111" t="inlineStr">
        <is>
          <t>Fournisseurs</t>
        </is>
      </c>
      <c r="B3" s="111" t="inlineStr">
        <is>
          <t>Facture n°</t>
        </is>
      </c>
      <c r="C3" s="111" t="inlineStr">
        <is>
          <t>date</t>
        </is>
      </c>
      <c r="D3" s="111" t="inlineStr">
        <is>
          <t>Kg de thé</t>
        </is>
      </c>
      <c r="E3" s="111" t="inlineStr">
        <is>
          <t>Taux</t>
        </is>
      </c>
      <c r="F3" s="111" t="inlineStr">
        <is>
          <t>Accises</t>
        </is>
      </c>
      <c r="G3" s="111" t="inlineStr">
        <is>
          <t>Fournisseurs</t>
        </is>
      </c>
      <c r="H3" s="111" t="inlineStr">
        <is>
          <t>AC4 n°</t>
        </is>
      </c>
      <c r="I3" s="111" t="inlineStr">
        <is>
          <t>date</t>
        </is>
      </c>
      <c r="J3" s="111" t="inlineStr">
        <is>
          <t>Kg de thé</t>
        </is>
      </c>
      <c r="K3" s="111" t="inlineStr">
        <is>
          <t>Accises</t>
        </is>
      </c>
      <c r="L3" s="111" t="inlineStr">
        <is>
          <t>Taux accises 2</t>
        </is>
      </c>
      <c r="M3" s="111" t="n">
        <v>1.192343</v>
      </c>
    </row>
    <row r="4">
      <c r="A4" s="0" t="inlineStr">
        <is>
          <t>D&amp;B</t>
        </is>
      </c>
      <c r="B4" s="0" t="inlineStr">
        <is>
          <t>R1152637567771</t>
        </is>
      </c>
      <c r="C4" s="115" t="n">
        <v>46119</v>
      </c>
      <c r="D4" s="113" t="n">
        <v>55</v>
      </c>
      <c r="E4" s="0" t="n">
        <v>1</v>
      </c>
      <c r="F4" s="116" t="n">
        <v>37.473645</v>
      </c>
      <c r="G4" s="0" t="inlineStr">
        <is>
          <t>D&amp;B</t>
        </is>
      </c>
    </row>
    <row r="5">
      <c r="A5" s="0" t="inlineStr">
        <is>
          <t>D&amp;B</t>
        </is>
      </c>
      <c r="B5" s="0" t="inlineStr">
        <is>
          <t>R1152637567771</t>
        </is>
      </c>
      <c r="C5" s="115" t="n">
        <v>46119</v>
      </c>
      <c r="D5" s="113" t="n">
        <v>10</v>
      </c>
      <c r="E5" s="0" t="n">
        <v>2</v>
      </c>
      <c r="F5" s="116" t="n">
        <v>11.92343</v>
      </c>
      <c r="G5" s="0" t="inlineStr">
        <is>
          <t>D&amp;B</t>
        </is>
      </c>
    </row>
    <row r="6">
      <c r="A6" s="0" t="inlineStr">
        <is>
          <t>Kirshner Fischer</t>
        </is>
      </c>
      <c r="B6" s="0" t="inlineStr">
        <is>
          <t>RGK26-03163</t>
        </is>
      </c>
      <c r="C6" s="115" t="n">
        <v>46121</v>
      </c>
      <c r="D6" s="113" t="n">
        <v>47</v>
      </c>
      <c r="E6" s="0" t="n">
        <v>1</v>
      </c>
      <c r="F6" s="116" t="n">
        <v>32.022933</v>
      </c>
      <c r="G6" s="0" t="inlineStr">
        <is>
          <t>Kirshner Fischer</t>
        </is>
      </c>
    </row>
    <row r="7">
      <c r="A7" s="0" t="inlineStr">
        <is>
          <t>Kirshner Fischer</t>
        </is>
      </c>
      <c r="B7" s="0" t="inlineStr">
        <is>
          <t>RGK26-03222</t>
        </is>
      </c>
      <c r="C7" s="115" t="n">
        <v>46125</v>
      </c>
      <c r="D7" s="113" t="n">
        <v>81</v>
      </c>
      <c r="E7" s="0" t="n">
        <v>1</v>
      </c>
      <c r="F7" s="116" t="n">
        <v>55.188459</v>
      </c>
      <c r="G7" s="0" t="inlineStr">
        <is>
          <t>Kirshner Fischer</t>
        </is>
      </c>
    </row>
    <row r="8">
      <c r="A8" s="0" t="inlineStr">
        <is>
          <t>Kirshner Fischer</t>
        </is>
      </c>
      <c r="B8" s="0" t="inlineStr">
        <is>
          <t>RGK26-03223</t>
        </is>
      </c>
      <c r="C8" s="115" t="n">
        <v>46125</v>
      </c>
      <c r="D8" s="113" t="n">
        <v>10</v>
      </c>
      <c r="E8" s="0" t="n">
        <v>1</v>
      </c>
      <c r="F8" s="116" t="n">
        <v>6.81339</v>
      </c>
      <c r="G8" s="0" t="inlineStr">
        <is>
          <t>Kirshner Fischer</t>
        </is>
      </c>
    </row>
    <row r="9">
      <c r="A9" s="0" t="inlineStr">
        <is>
          <t>Kirshner Fischer</t>
        </is>
      </c>
      <c r="B9" s="0" t="inlineStr">
        <is>
          <t>RGK26-03268</t>
        </is>
      </c>
      <c r="C9" s="115" t="n">
        <v>46125</v>
      </c>
      <c r="D9" s="113" t="n">
        <v>321</v>
      </c>
      <c r="E9" s="0" t="n">
        <v>1</v>
      </c>
      <c r="F9" s="116" t="n">
        <v>218.709819</v>
      </c>
      <c r="G9" s="0" t="inlineStr">
        <is>
          <t>Kirshner Fischer</t>
        </is>
      </c>
    </row>
    <row r="10">
      <c r="A10" s="0" t="inlineStr">
        <is>
          <t>Kirshner Fischer</t>
        </is>
      </c>
      <c r="B10" s="0" t="inlineStr">
        <is>
          <t>RGK26-03333</t>
        </is>
      </c>
      <c r="C10" s="115" t="n">
        <v>46126</v>
      </c>
      <c r="D10" s="113" t="n">
        <v>20</v>
      </c>
      <c r="E10" s="0" t="n">
        <v>1</v>
      </c>
      <c r="F10" s="116" t="n">
        <v>13.62678</v>
      </c>
      <c r="G10" s="0" t="inlineStr">
        <is>
          <t>Kirshner Fischer</t>
        </is>
      </c>
    </row>
    <row r="11">
      <c r="A11" s="0" t="inlineStr">
        <is>
          <t>Sinass</t>
        </is>
      </c>
      <c r="B11" s="0" t="inlineStr">
        <is>
          <t>200295</t>
        </is>
      </c>
      <c r="C11" s="115" t="n">
        <v>46133</v>
      </c>
      <c r="D11" s="113" t="n">
        <v>50</v>
      </c>
      <c r="E11" s="0" t="n">
        <v>1</v>
      </c>
      <c r="F11" s="116" t="n">
        <v>34.06695</v>
      </c>
      <c r="G11" s="0" t="inlineStr">
        <is>
          <t>Sinass</t>
        </is>
      </c>
    </row>
    <row r="12">
      <c r="A12" s="0" t="inlineStr">
        <is>
          <t>D&amp;B</t>
        </is>
      </c>
      <c r="B12" s="0" t="inlineStr">
        <is>
          <t>R1154396567771</t>
        </is>
      </c>
      <c r="C12" s="115" t="n">
        <v>46134</v>
      </c>
      <c r="D12" s="113" t="n">
        <v>20</v>
      </c>
      <c r="E12" s="0" t="n">
        <v>1</v>
      </c>
      <c r="F12" s="116" t="n">
        <v>13.62678</v>
      </c>
      <c r="G12" s="0" t="inlineStr">
        <is>
          <t>D&amp;B</t>
        </is>
      </c>
    </row>
    <row r="13">
      <c r="A13" s="0" t="inlineStr">
        <is>
          <t>D&amp;B</t>
        </is>
      </c>
      <c r="B13" s="0" t="inlineStr">
        <is>
          <t>R1154396567771</t>
        </is>
      </c>
      <c r="C13" s="115" t="n">
        <v>46134</v>
      </c>
      <c r="D13" s="113" t="n">
        <v>10</v>
      </c>
      <c r="E13" s="0" t="n">
        <v>2</v>
      </c>
      <c r="F13" s="116" t="n">
        <v>11.92343</v>
      </c>
      <c r="G13" s="0" t="inlineStr">
        <is>
          <t>D&amp;B</t>
        </is>
      </c>
    </row>
    <row r="14">
      <c r="A14" s="0" t="inlineStr">
        <is>
          <t>Kirshner Fischer</t>
        </is>
      </c>
      <c r="B14" s="0" t="inlineStr">
        <is>
          <t>RGK26-03604</t>
        </is>
      </c>
      <c r="C14" s="115" t="n">
        <v>46135</v>
      </c>
      <c r="D14" s="113" t="n">
        <v>154.7</v>
      </c>
      <c r="E14" s="0" t="n">
        <v>1</v>
      </c>
      <c r="F14" s="116" t="n">
        <v>105.4031433</v>
      </c>
      <c r="G14" s="0" t="inlineStr">
        <is>
          <t>Kirshner Fischer</t>
        </is>
      </c>
    </row>
    <row r="15">
      <c r="A15" s="0" t="inlineStr">
        <is>
          <t>Kirshner Fischer</t>
        </is>
      </c>
      <c r="B15" s="0" t="inlineStr">
        <is>
          <t>RGK26-03605</t>
        </is>
      </c>
      <c r="C15" s="115" t="n">
        <v>46135</v>
      </c>
      <c r="D15" s="113" t="n">
        <v>92.87</v>
      </c>
      <c r="E15" s="0" t="n">
        <v>1</v>
      </c>
      <c r="F15" s="116" t="n">
        <v>63.27595293</v>
      </c>
      <c r="G15" s="0" t="inlineStr">
        <is>
          <t>Kirshner Fischer</t>
        </is>
      </c>
    </row>
    <row r="16">
      <c r="A16" s="0" t="inlineStr">
        <is>
          <t>Kirshner Fischer</t>
        </is>
      </c>
      <c r="B16" s="0" t="inlineStr">
        <is>
          <t>RGK26-03606</t>
        </is>
      </c>
      <c r="C16" s="115" t="n">
        <v>46135</v>
      </c>
      <c r="D16" s="113" t="n">
        <v>167.24</v>
      </c>
      <c r="E16" s="0" t="n">
        <v>1</v>
      </c>
      <c r="F16" s="116" t="n">
        <v>113.94713436</v>
      </c>
      <c r="G16" s="0" t="inlineStr">
        <is>
          <t>Kirshner Fischer</t>
        </is>
      </c>
    </row>
    <row r="17">
      <c r="A17" s="0" t="inlineStr">
        <is>
          <t>D&amp;B</t>
        </is>
      </c>
      <c r="B17" s="0" t="inlineStr">
        <is>
          <t>R1155015567771</t>
        </is>
      </c>
      <c r="C17" s="115" t="n">
        <v>46139</v>
      </c>
      <c r="D17" s="113" t="n">
        <v>25</v>
      </c>
      <c r="E17" s="0" t="n">
        <v>2</v>
      </c>
      <c r="F17" s="116" t="n">
        <v>29.808575</v>
      </c>
      <c r="G17" s="0" t="inlineStr">
        <is>
          <t>D&amp;B</t>
        </is>
      </c>
    </row>
    <row r="18">
      <c r="A18" s="0" t="inlineStr">
        <is>
          <t>Kirshner Fischer</t>
        </is>
      </c>
      <c r="B18" s="0" t="inlineStr">
        <is>
          <t>RGK26-03755</t>
        </is>
      </c>
      <c r="C18" s="115" t="n">
        <v>46139</v>
      </c>
      <c r="D18" s="113" t="n">
        <v>20</v>
      </c>
      <c r="E18" s="0" t="n">
        <v>1</v>
      </c>
      <c r="F18" s="116" t="n">
        <v>13.62678</v>
      </c>
      <c r="G18" s="0" t="inlineStr">
        <is>
          <t>Kirshner Fischer</t>
        </is>
      </c>
    </row>
    <row r="19">
      <c r="A19" s="0" t="inlineStr">
        <is>
          <t>Kirshner Fischer</t>
        </is>
      </c>
      <c r="B19" s="0" t="inlineStr">
        <is>
          <t>RGK26-03758</t>
        </is>
      </c>
      <c r="C19" s="115" t="n">
        <v>46139</v>
      </c>
      <c r="D19" s="113" t="n">
        <v>10</v>
      </c>
      <c r="E19" s="0" t="n">
        <v>1</v>
      </c>
      <c r="F19" s="116" t="n">
        <v>6.81339</v>
      </c>
      <c r="G19" s="0" t="inlineStr">
        <is>
          <t>Kirshner Fischer</t>
        </is>
      </c>
    </row>
    <row r="20">
      <c r="A20" s="0" t="inlineStr">
        <is>
          <t>D&amp;B</t>
        </is>
      </c>
      <c r="B20" s="0" t="inlineStr">
        <is>
          <t>R1155295567771</t>
        </is>
      </c>
      <c r="C20" s="115" t="n">
        <v>46140</v>
      </c>
      <c r="D20" s="113" t="n">
        <v>26</v>
      </c>
      <c r="E20" s="0" t="n">
        <v>2</v>
      </c>
      <c r="F20" s="116" t="n">
        <v>31.000918</v>
      </c>
      <c r="G20" s="0" t="inlineStr">
        <is>
          <t>D&amp;B</t>
        </is>
      </c>
    </row>
    <row r="21">
      <c r="A21" s="0" t="inlineStr">
        <is>
          <t>Kirshner Fischer</t>
        </is>
      </c>
      <c r="B21" s="0" t="inlineStr">
        <is>
          <t>RGK26-03856</t>
        </is>
      </c>
      <c r="C21" s="115" t="n">
        <v>46142</v>
      </c>
      <c r="D21" s="113" t="n">
        <v>20</v>
      </c>
      <c r="E21" s="0" t="n">
        <v>1</v>
      </c>
      <c r="F21" s="116" t="n">
        <v>13.62678</v>
      </c>
      <c r="G21" s="0" t="inlineStr">
        <is>
          <t>Kirshner Fischer</t>
        </is>
      </c>
    </row>
    <row r="22">
      <c r="A22" s="0" t="inlineStr">
        <is>
          <t>Sinass</t>
        </is>
      </c>
      <c r="B22" s="0" t="inlineStr">
        <is>
          <t>200573</t>
        </is>
      </c>
      <c r="C22" s="115" t="n">
        <v>46142</v>
      </c>
      <c r="D22" s="113" t="n">
        <v>110</v>
      </c>
      <c r="E22" s="0" t="n">
        <v>1</v>
      </c>
      <c r="F22" s="116" t="n">
        <v>74.94729000000001</v>
      </c>
      <c r="G22" s="0" t="inlineStr">
        <is>
          <t>Sinass</t>
        </is>
      </c>
    </row>
    <row r="23">
      <c r="A23" s="0" t="inlineStr">
        <is>
          <t>Total du mois</t>
        </is>
      </c>
      <c r="D23" s="0" t="n">
        <v>1249.81</v>
      </c>
      <c r="F23" s="0" t="n">
        <v>887.8255795900002</v>
      </c>
      <c r="G23" s="0" t="inlineStr">
        <is>
          <t>Total du mois</t>
        </is>
      </c>
      <c r="J23" s="0" t="n">
        <v>0</v>
      </c>
      <c r="K23" s="0" t="n">
        <v>0</v>
      </c>
    </row>
    <row r="24">
      <c r="C24" s="0" t="inlineStr">
        <is>
          <t>Taux 1</t>
        </is>
      </c>
      <c r="D24" s="0" t="n">
        <v>1178.81</v>
      </c>
      <c r="F24" s="0" t="n">
        <v>803.1692265900003</v>
      </c>
    </row>
    <row r="25">
      <c r="C25" s="0" t="inlineStr">
        <is>
          <t>Taux 2</t>
        </is>
      </c>
      <c r="D25" s="0" t="n">
        <v>71</v>
      </c>
      <c r="F25" s="0" t="n">
        <v>84.656353</v>
      </c>
    </row>
    <row r="26">
      <c r="D26" s="0" t="n">
        <v>1249.81</v>
      </c>
      <c r="F26" s="0" t="n">
        <v>887.8255795900003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8" customWidth="1" style="104" min="1" max="1"/>
    <col width="16" customWidth="1" style="104" min="2" max="2"/>
    <col width="12" customWidth="1" style="104" min="3" max="3"/>
    <col width="10" customWidth="1" style="104" min="4" max="4"/>
    <col width="6" customWidth="1" style="104" min="5" max="5"/>
    <col width="12" customWidth="1" style="104" min="6" max="6"/>
    <col width="18" customWidth="1" style="104" min="7" max="7"/>
    <col width="10" customWidth="1" style="104" min="8" max="8"/>
    <col width="12" customWidth="1" style="104" min="9" max="9"/>
    <col width="10" customWidth="1" style="104" min="10" max="10"/>
    <col width="10" customWidth="1" style="104" min="11" max="11"/>
    <col width="14" customWidth="1" style="104" min="12" max="12"/>
    <col width="10" customWidth="1" style="104" min="13" max="13"/>
  </cols>
  <sheetData>
    <row r="1">
      <c r="A1" s="111" t="inlineStr">
        <is>
          <t>Mai26</t>
        </is>
      </c>
      <c r="G1" s="111" t="inlineStr">
        <is>
          <t>Mai26</t>
        </is>
      </c>
      <c r="L1" t="inlineStr">
        <is>
          <t>taux accises 1</t>
        </is>
      </c>
      <c r="M1" t="n">
        <v>0.681339</v>
      </c>
    </row>
    <row r="2">
      <c r="A2" s="111" t="inlineStr">
        <is>
          <t>Entrées</t>
        </is>
      </c>
      <c r="G2" s="111" t="inlineStr">
        <is>
          <t>Sorties</t>
        </is>
      </c>
    </row>
    <row r="3">
      <c r="A3" t="inlineStr">
        <is>
          <t>Fournisseurs</t>
        </is>
      </c>
      <c r="B3" t="inlineStr">
        <is>
          <t>Facture n°</t>
        </is>
      </c>
      <c r="C3" t="inlineStr">
        <is>
          <t>date</t>
        </is>
      </c>
      <c r="D3" t="inlineStr">
        <is>
          <t>Kg de thé</t>
        </is>
      </c>
      <c r="E3" t="inlineStr">
        <is>
          <t>Taux</t>
        </is>
      </c>
      <c r="F3" t="inlineStr">
        <is>
          <t>Accises</t>
        </is>
      </c>
      <c r="G3" t="inlineStr">
        <is>
          <t>Fournisseurs</t>
        </is>
      </c>
      <c r="H3" t="inlineStr">
        <is>
          <t>AC4 n°</t>
        </is>
      </c>
      <c r="I3" t="inlineStr">
        <is>
          <t>date</t>
        </is>
      </c>
      <c r="J3" t="inlineStr">
        <is>
          <t>Kg de thé</t>
        </is>
      </c>
      <c r="K3" t="inlineStr">
        <is>
          <t>Accises</t>
        </is>
      </c>
      <c r="L3" t="inlineStr">
        <is>
          <t>Taux accises 2</t>
        </is>
      </c>
      <c r="M3" t="n">
        <v>1.192343</v>
      </c>
    </row>
    <row r="4">
      <c r="A4" t="inlineStr">
        <is>
          <t>Kirshner Fischer</t>
        </is>
      </c>
      <c r="B4" t="inlineStr">
        <is>
          <t>RGK26-04142</t>
        </is>
      </c>
      <c r="C4" s="117" t="n">
        <v>46153</v>
      </c>
      <c r="D4" t="n">
        <v>40</v>
      </c>
      <c r="E4" t="n">
        <v>1</v>
      </c>
      <c r="F4" t="n">
        <v>27.25356</v>
      </c>
      <c r="G4" t="inlineStr">
        <is>
          <t>Kirshner Fischer</t>
        </is>
      </c>
    </row>
    <row r="5">
      <c r="A5" t="inlineStr">
        <is>
          <t>Kirshner Fischer</t>
        </is>
      </c>
      <c r="B5" t="inlineStr">
        <is>
          <t>RGK26-04167</t>
        </is>
      </c>
      <c r="C5" s="117" t="n">
        <v>46154</v>
      </c>
      <c r="D5" t="n">
        <v>30</v>
      </c>
      <c r="E5" t="n">
        <v>1</v>
      </c>
      <c r="F5" t="n">
        <v>20.44017</v>
      </c>
      <c r="G5" t="inlineStr">
        <is>
          <t>Kirshner Fischer</t>
        </is>
      </c>
    </row>
    <row r="6">
      <c r="A6" t="inlineStr">
        <is>
          <t>Kirshner Fischer</t>
        </is>
      </c>
      <c r="B6" t="inlineStr">
        <is>
          <t>RGK26-04188</t>
        </is>
      </c>
      <c r="C6" s="117" t="n">
        <v>46154</v>
      </c>
      <c r="D6" t="n">
        <v>40</v>
      </c>
      <c r="E6" t="n">
        <v>1</v>
      </c>
      <c r="F6" t="n">
        <v>27.25356</v>
      </c>
      <c r="G6" t="inlineStr">
        <is>
          <t>Kirshner Fischer</t>
        </is>
      </c>
    </row>
    <row r="7">
      <c r="A7" t="inlineStr">
        <is>
          <t>Kirshner Fischer</t>
        </is>
      </c>
      <c r="B7" t="inlineStr">
        <is>
          <t>RGK26-04189</t>
        </is>
      </c>
      <c r="C7" s="117" t="n">
        <v>46154</v>
      </c>
      <c r="D7" t="n">
        <v>100</v>
      </c>
      <c r="E7" t="n">
        <v>1</v>
      </c>
      <c r="F7" t="n">
        <v>68.1339</v>
      </c>
      <c r="G7" t="inlineStr">
        <is>
          <t>Kirshner Fischer</t>
        </is>
      </c>
    </row>
    <row r="8">
      <c r="A8" t="inlineStr">
        <is>
          <t>Kirshner Fischer</t>
        </is>
      </c>
      <c r="B8" t="inlineStr">
        <is>
          <t>RGK26-04267</t>
        </is>
      </c>
      <c r="C8" s="117" t="n">
        <v>46160</v>
      </c>
      <c r="D8" t="n">
        <v>170</v>
      </c>
      <c r="E8" t="n">
        <v>1</v>
      </c>
      <c r="F8" t="n">
        <v>115.82763</v>
      </c>
      <c r="G8" t="inlineStr">
        <is>
          <t>Kirshner Fischer</t>
        </is>
      </c>
    </row>
    <row r="9">
      <c r="A9" t="inlineStr">
        <is>
          <t>Kirshner Fischer</t>
        </is>
      </c>
      <c r="B9" t="inlineStr">
        <is>
          <t>RGK26-04265</t>
        </is>
      </c>
      <c r="C9" s="117" t="n">
        <v>46161</v>
      </c>
      <c r="D9" t="n">
        <v>30</v>
      </c>
      <c r="E9" t="n">
        <v>1</v>
      </c>
      <c r="F9" t="n">
        <v>20.44017</v>
      </c>
      <c r="G9" t="inlineStr">
        <is>
          <t>Kirshner Fischer</t>
        </is>
      </c>
    </row>
    <row r="10">
      <c r="A10" t="inlineStr">
        <is>
          <t>Kirshner Fischer</t>
        </is>
      </c>
      <c r="B10" t="inlineStr">
        <is>
          <t>RGK26-04266</t>
        </is>
      </c>
      <c r="C10" s="117" t="n">
        <v>46161</v>
      </c>
      <c r="D10" t="n">
        <v>49.7</v>
      </c>
      <c r="E10" t="n">
        <v>1</v>
      </c>
      <c r="F10" t="n">
        <v>33.8625483</v>
      </c>
      <c r="G10" t="inlineStr">
        <is>
          <t>Kirshner Fischer</t>
        </is>
      </c>
    </row>
    <row r="11">
      <c r="A11" t="inlineStr">
        <is>
          <t>Kirshner Fischer</t>
        </is>
      </c>
      <c r="B11" t="inlineStr">
        <is>
          <t>RGK26-04387</t>
        </is>
      </c>
      <c r="C11" s="117" t="n">
        <v>46162</v>
      </c>
      <c r="D11" t="n">
        <v>20</v>
      </c>
      <c r="E11" t="n">
        <v>1</v>
      </c>
      <c r="F11" t="n">
        <v>13.62678</v>
      </c>
      <c r="G11" t="inlineStr">
        <is>
          <t>Kirshner Fischer</t>
        </is>
      </c>
    </row>
    <row r="12">
      <c r="A12" t="inlineStr">
        <is>
          <t>Kirshner Fischer</t>
        </is>
      </c>
      <c r="B12" t="inlineStr">
        <is>
          <t>RGK26-04484</t>
        </is>
      </c>
      <c r="C12" s="117" t="n">
        <v>46168</v>
      </c>
      <c r="D12" t="n">
        <v>25</v>
      </c>
      <c r="E12" t="n">
        <v>1</v>
      </c>
      <c r="F12" t="n">
        <v>17.033475</v>
      </c>
      <c r="G12" t="inlineStr">
        <is>
          <t>Kirshner Fischer</t>
        </is>
      </c>
    </row>
    <row r="13">
      <c r="A13" t="inlineStr">
        <is>
          <t>D&amp;B</t>
        </is>
      </c>
      <c r="B13" t="inlineStr">
        <is>
          <t>R1159008567771</t>
        </is>
      </c>
      <c r="C13" s="117" t="n">
        <v>46171</v>
      </c>
      <c r="D13" t="n">
        <v>80</v>
      </c>
      <c r="E13" t="n">
        <v>1</v>
      </c>
      <c r="F13" t="n">
        <v>54.50712</v>
      </c>
      <c r="G13" t="inlineStr">
        <is>
          <t>D&amp;B</t>
        </is>
      </c>
    </row>
    <row r="14">
      <c r="A14" t="inlineStr">
        <is>
          <t>D&amp;B</t>
        </is>
      </c>
      <c r="B14" t="inlineStr">
        <is>
          <t>R1159008567771</t>
        </is>
      </c>
      <c r="C14" s="117" t="n">
        <v>46171</v>
      </c>
      <c r="D14" t="n">
        <v>30</v>
      </c>
      <c r="E14" t="n">
        <v>2</v>
      </c>
      <c r="F14" t="n">
        <v>35.77029</v>
      </c>
      <c r="G14" t="inlineStr">
        <is>
          <t>D&amp;B</t>
        </is>
      </c>
    </row>
    <row r="15">
      <c r="A15" s="111" t="inlineStr">
        <is>
          <t>Total du mois</t>
        </is>
      </c>
      <c r="D15">
        <f>SUM(D4:D14)</f>
        <v/>
      </c>
      <c r="F15">
        <f>SUM(F4:F14)</f>
        <v/>
      </c>
      <c r="G15" s="111" t="inlineStr">
        <is>
          <t>Total du mois</t>
        </is>
      </c>
      <c r="J15">
        <f>SUM(J4:J14)</f>
        <v/>
      </c>
      <c r="K15">
        <f>SUM(K4:K14)</f>
        <v/>
      </c>
    </row>
    <row r="16">
      <c r="C16" t="inlineStr">
        <is>
          <t>Taux 1</t>
        </is>
      </c>
      <c r="D16">
        <f>SUMIF(E4:E14,1,D4:D14)</f>
        <v/>
      </c>
      <c r="F16">
        <f>SUMIF(E4:E14,1,F4:F14)</f>
        <v/>
      </c>
    </row>
    <row r="17">
      <c r="C17" t="inlineStr">
        <is>
          <t>Taux 2</t>
        </is>
      </c>
      <c r="D17">
        <f>SUMIF(E4:E14,2,D4:D14)</f>
        <v/>
      </c>
      <c r="F17">
        <f>SUMIF(E4:E14,2,F4:F14)</f>
        <v/>
      </c>
    </row>
    <row r="18">
      <c r="D18">
        <f>D16+D17</f>
        <v/>
      </c>
      <c r="F18">
        <f>F16+F17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2026-04-29T13:31:03Z</dcterms:created>
  <dcterms:modified xmlns:dcterms="http://purl.org/dc/terms/" xmlns:xsi="http://www.w3.org/2001/XMLSchema-instance" xsi:type="dcterms:W3CDTF">2026-06-04T12:26:36Z</dcterms:modified>
</cp:coreProperties>
</file>